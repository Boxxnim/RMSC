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nasralla\Dropbox\PhD\PhD\Manuscripts\Trial manuscript\Nature\Revision 4 - formatting\Figures and Tables\"/>
    </mc:Choice>
  </mc:AlternateContent>
  <bookViews>
    <workbookView xWindow="0" yWindow="0" windowWidth="19785" windowHeight="8250" tabRatio="867"/>
  </bookViews>
  <sheets>
    <sheet name="PortalFlowgraph4TP" sheetId="23" r:id="rId1"/>
    <sheet name="PortalFlow4TP" sheetId="22" r:id="rId2"/>
    <sheet name="Bilegraph4TP" sheetId="21" r:id="rId3"/>
    <sheet name="Bile4TP" sheetId="19" r:id="rId4"/>
    <sheet name="pHgraph4TP" sheetId="18" r:id="rId5"/>
    <sheet name="pH4TP" sheetId="17" r:id="rId6"/>
    <sheet name="HAgraph4TP" sheetId="13" r:id="rId7"/>
    <sheet name="ArterialFlow4TP" sheetId="12" r:id="rId8"/>
    <sheet name="BileGraph" sheetId="2" r:id="rId9"/>
    <sheet name="pHGraph" sheetId="5" r:id="rId10"/>
    <sheet name="PortalGraph" sheetId="11" r:id="rId11"/>
    <sheet name="HAgraph" sheetId="8" r:id="rId12"/>
    <sheet name="PortalFlow" sheetId="10" r:id="rId13"/>
    <sheet name="IVCFlow" sheetId="9" r:id="rId14"/>
    <sheet name="ArterialFlow" sheetId="6" r:id="rId15"/>
    <sheet name="pH" sheetId="3" r:id="rId16"/>
    <sheet name="Bile" sheetId="1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M6" i="22" l="1"/>
  <c r="CN6" i="22" s="1"/>
  <c r="CL6" i="22"/>
  <c r="CN5" i="22"/>
  <c r="CM5" i="22"/>
  <c r="CL5" i="22"/>
  <c r="CM4" i="22"/>
  <c r="CN4" i="22" s="1"/>
  <c r="CL4" i="22"/>
  <c r="CM3" i="22"/>
  <c r="CN3" i="22" s="1"/>
  <c r="CL3" i="22"/>
  <c r="CM1048576" i="22"/>
  <c r="AW22" i="22"/>
  <c r="CA21" i="22"/>
  <c r="AW21" i="22"/>
  <c r="K21" i="22"/>
  <c r="CA20" i="22"/>
  <c r="AW20" i="22"/>
  <c r="P20" i="22"/>
  <c r="K20" i="22"/>
  <c r="D20" i="22"/>
  <c r="CA19" i="22"/>
  <c r="BH19" i="22"/>
  <c r="AW19" i="22"/>
  <c r="P19" i="22"/>
  <c r="K19" i="22"/>
  <c r="D19" i="22"/>
  <c r="CA18" i="22"/>
  <c r="BH18" i="22"/>
  <c r="AW18" i="22"/>
  <c r="P18" i="22"/>
  <c r="K18" i="22"/>
  <c r="D18" i="22"/>
  <c r="CA17" i="22"/>
  <c r="BY17" i="22"/>
  <c r="BH17" i="22"/>
  <c r="BE17" i="22"/>
  <c r="AW17" i="22"/>
  <c r="P17" i="22"/>
  <c r="K17" i="22"/>
  <c r="D17" i="22"/>
  <c r="CA16" i="22"/>
  <c r="BY16" i="22"/>
  <c r="BH16" i="22"/>
  <c r="BE16" i="22"/>
  <c r="BB16" i="22"/>
  <c r="AW16" i="22"/>
  <c r="R16" i="22"/>
  <c r="P16" i="22"/>
  <c r="K16" i="22"/>
  <c r="D16" i="22"/>
  <c r="CA15" i="22"/>
  <c r="BY15" i="22"/>
  <c r="BH15" i="22"/>
  <c r="BE15" i="22"/>
  <c r="BB15" i="22"/>
  <c r="AW15" i="22"/>
  <c r="R15" i="22"/>
  <c r="P15" i="22"/>
  <c r="N15" i="22"/>
  <c r="K15" i="22"/>
  <c r="I15" i="22"/>
  <c r="D15" i="22"/>
  <c r="CE14" i="22"/>
  <c r="CA14" i="22"/>
  <c r="BY14" i="22"/>
  <c r="BN14" i="22"/>
  <c r="BH14" i="22"/>
  <c r="BE14" i="22"/>
  <c r="BB14" i="22"/>
  <c r="AW14" i="22"/>
  <c r="R14" i="22"/>
  <c r="P14" i="22"/>
  <c r="N14" i="22"/>
  <c r="M14" i="22"/>
  <c r="K14" i="22"/>
  <c r="I14" i="22"/>
  <c r="D14" i="22"/>
  <c r="CE13" i="22"/>
  <c r="CA13" i="22"/>
  <c r="BY13" i="22"/>
  <c r="BN13" i="22"/>
  <c r="BH13" i="22"/>
  <c r="BE13" i="22"/>
  <c r="BB13" i="22"/>
  <c r="AW13" i="22"/>
  <c r="AT13" i="22"/>
  <c r="AM13" i="22"/>
  <c r="R13" i="22"/>
  <c r="P13" i="22"/>
  <c r="N13" i="22"/>
  <c r="M13" i="22"/>
  <c r="L13" i="22"/>
  <c r="K13" i="22"/>
  <c r="I13" i="22"/>
  <c r="G13" i="22"/>
  <c r="F13" i="22"/>
  <c r="D13" i="22"/>
  <c r="CE12" i="22"/>
  <c r="CD12" i="22"/>
  <c r="CB12" i="22"/>
  <c r="CA12" i="22"/>
  <c r="BY12" i="22"/>
  <c r="BW12" i="22"/>
  <c r="BO12" i="22"/>
  <c r="BN12" i="22"/>
  <c r="BH12" i="22"/>
  <c r="BE12" i="22"/>
  <c r="BB12" i="22"/>
  <c r="AW12" i="22"/>
  <c r="AT12" i="22"/>
  <c r="AO12" i="22"/>
  <c r="AN12" i="22"/>
  <c r="AM12" i="22"/>
  <c r="V12" i="22"/>
  <c r="U12" i="22"/>
  <c r="T12" i="22"/>
  <c r="R12" i="22"/>
  <c r="Q12" i="22"/>
  <c r="P12" i="22"/>
  <c r="O12" i="22"/>
  <c r="N12" i="22"/>
  <c r="M12" i="22"/>
  <c r="L12" i="22"/>
  <c r="K12" i="22"/>
  <c r="I12" i="22"/>
  <c r="G12" i="22"/>
  <c r="F12" i="22"/>
  <c r="D12" i="22"/>
  <c r="CJ11" i="22"/>
  <c r="CE11" i="22"/>
  <c r="CD11" i="22"/>
  <c r="CC11" i="22"/>
  <c r="CB11" i="22"/>
  <c r="CA11" i="22"/>
  <c r="BY11" i="22"/>
  <c r="BW11" i="22"/>
  <c r="BV11" i="22"/>
  <c r="BU11" i="22"/>
  <c r="BO11" i="22"/>
  <c r="BN11" i="22"/>
  <c r="BH11" i="22"/>
  <c r="BE11" i="22"/>
  <c r="BB11" i="22"/>
  <c r="BA11" i="22"/>
  <c r="AW11" i="22"/>
  <c r="AT11" i="22"/>
  <c r="AO11" i="22"/>
  <c r="AN11" i="22"/>
  <c r="AM11" i="22"/>
  <c r="AJ11" i="22"/>
  <c r="AD11" i="22"/>
  <c r="W11" i="22"/>
  <c r="V11" i="22"/>
  <c r="U11" i="22"/>
  <c r="T11" i="22"/>
  <c r="R11" i="22"/>
  <c r="Q11" i="22"/>
  <c r="P11" i="22"/>
  <c r="O11" i="22"/>
  <c r="N11" i="22"/>
  <c r="M11" i="22"/>
  <c r="L11" i="22"/>
  <c r="K11" i="22"/>
  <c r="I11" i="22"/>
  <c r="G11" i="22"/>
  <c r="F11" i="22"/>
  <c r="D11" i="22"/>
  <c r="CJ10" i="22"/>
  <c r="CI10" i="22"/>
  <c r="CG10" i="22"/>
  <c r="CE10" i="22"/>
  <c r="CD10" i="22"/>
  <c r="CC10" i="22"/>
  <c r="CB10" i="22"/>
  <c r="CA10" i="22"/>
  <c r="BY10" i="22"/>
  <c r="BX10" i="22"/>
  <c r="BW10" i="22"/>
  <c r="BV10" i="22"/>
  <c r="BU10" i="22"/>
  <c r="BQ10" i="22"/>
  <c r="BO10" i="22"/>
  <c r="BN10" i="22"/>
  <c r="BH10" i="22"/>
  <c r="BF10" i="22"/>
  <c r="BE10" i="22"/>
  <c r="BB10" i="22"/>
  <c r="BA10" i="22"/>
  <c r="AZ10" i="22"/>
  <c r="AY10" i="22"/>
  <c r="AW10" i="22"/>
  <c r="AV10" i="22"/>
  <c r="AU10" i="22"/>
  <c r="AT10" i="22"/>
  <c r="AO10" i="22"/>
  <c r="AN10" i="22"/>
  <c r="AM10" i="22"/>
  <c r="AK10" i="22"/>
  <c r="AJ10" i="22"/>
  <c r="AF10" i="22"/>
  <c r="AD10" i="22"/>
  <c r="W10" i="22"/>
  <c r="V10" i="22"/>
  <c r="U10" i="22"/>
  <c r="T10" i="22"/>
  <c r="R10" i="22"/>
  <c r="Q10" i="22"/>
  <c r="P10" i="22"/>
  <c r="O10" i="22"/>
  <c r="N10" i="22"/>
  <c r="M10" i="22"/>
  <c r="L10" i="22"/>
  <c r="K10" i="22"/>
  <c r="I10" i="22"/>
  <c r="G10" i="22"/>
  <c r="F10" i="22"/>
  <c r="D10" i="22"/>
  <c r="CJ9" i="22"/>
  <c r="CI9" i="22"/>
  <c r="CH9" i="22"/>
  <c r="CG9" i="22"/>
  <c r="CE9" i="22"/>
  <c r="CD9" i="22"/>
  <c r="CC9" i="22"/>
  <c r="CB9" i="22"/>
  <c r="CA9" i="22"/>
  <c r="BY9" i="22"/>
  <c r="BX9" i="22"/>
  <c r="BW9" i="22"/>
  <c r="BV9" i="22"/>
  <c r="BU9" i="22"/>
  <c r="BT9" i="22"/>
  <c r="BQ9" i="22"/>
  <c r="BO9" i="22"/>
  <c r="BN9" i="22"/>
  <c r="BI9" i="22"/>
  <c r="BH9" i="22"/>
  <c r="BF9" i="22"/>
  <c r="BE9" i="22"/>
  <c r="BB9" i="22"/>
  <c r="BA9" i="22"/>
  <c r="AZ9" i="22"/>
  <c r="AY9" i="22"/>
  <c r="AW9" i="22"/>
  <c r="AV9" i="22"/>
  <c r="AU9" i="22"/>
  <c r="AT9" i="22"/>
  <c r="AS9" i="22"/>
  <c r="AO9" i="22"/>
  <c r="AN9" i="22"/>
  <c r="AM9" i="22"/>
  <c r="AL9" i="22"/>
  <c r="AK9" i="22"/>
  <c r="AJ9" i="22"/>
  <c r="AI9" i="22"/>
  <c r="AF9" i="22"/>
  <c r="AD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I9" i="22"/>
  <c r="H9" i="22"/>
  <c r="G9" i="22"/>
  <c r="F9" i="22"/>
  <c r="D9" i="22"/>
  <c r="CJ8" i="22"/>
  <c r="CI8" i="22"/>
  <c r="CH8" i="22"/>
  <c r="CG8" i="22"/>
  <c r="CF8" i="22"/>
  <c r="CE8" i="22"/>
  <c r="CD8" i="22"/>
  <c r="CC8" i="22"/>
  <c r="CB8" i="22"/>
  <c r="CA8" i="22"/>
  <c r="BY8" i="22"/>
  <c r="BX8" i="22"/>
  <c r="BW8" i="22"/>
  <c r="BV8" i="22"/>
  <c r="BU8" i="22"/>
  <c r="BT8" i="22"/>
  <c r="BR8" i="22"/>
  <c r="BQ8" i="22"/>
  <c r="BP8" i="22"/>
  <c r="BO8" i="22"/>
  <c r="BN8" i="22"/>
  <c r="BM8" i="22"/>
  <c r="BL8" i="22"/>
  <c r="BI8" i="22"/>
  <c r="BH8" i="22"/>
  <c r="BF8" i="22"/>
  <c r="BE8" i="22"/>
  <c r="BB8" i="22"/>
  <c r="BA8" i="22"/>
  <c r="AZ8" i="22"/>
  <c r="AY8" i="22"/>
  <c r="AW8" i="22"/>
  <c r="AV8" i="22"/>
  <c r="AU8" i="22"/>
  <c r="AT8" i="22"/>
  <c r="AS8" i="22"/>
  <c r="AQ8" i="22"/>
  <c r="AO8" i="22"/>
  <c r="AN8" i="22"/>
  <c r="AM8" i="22"/>
  <c r="AL8" i="22"/>
  <c r="AK8" i="22"/>
  <c r="AJ8" i="22"/>
  <c r="AI8" i="22"/>
  <c r="AH8" i="22"/>
  <c r="AF8" i="22"/>
  <c r="AE8" i="22"/>
  <c r="AD8" i="22"/>
  <c r="AB8" i="22"/>
  <c r="Y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D8" i="22"/>
  <c r="CJ7" i="22"/>
  <c r="CI7" i="22"/>
  <c r="CH7" i="22"/>
  <c r="CG7" i="22"/>
  <c r="CF7" i="22"/>
  <c r="CE7" i="22"/>
  <c r="CD7" i="22"/>
  <c r="CC7" i="22"/>
  <c r="CB7" i="22"/>
  <c r="CA7" i="22"/>
  <c r="BY7" i="22"/>
  <c r="BX7" i="22"/>
  <c r="BW7" i="22"/>
  <c r="BV7" i="22"/>
  <c r="BU7" i="22"/>
  <c r="BT7" i="22"/>
  <c r="BR7" i="22"/>
  <c r="BQ7" i="22"/>
  <c r="BP7" i="22"/>
  <c r="BO7" i="22"/>
  <c r="BN7" i="22"/>
  <c r="BM7" i="22"/>
  <c r="BL7" i="22"/>
  <c r="BI7" i="22"/>
  <c r="BH7" i="22"/>
  <c r="BF7" i="22"/>
  <c r="BE7" i="22"/>
  <c r="BC7" i="22"/>
  <c r="BB7" i="22"/>
  <c r="BA7" i="22"/>
  <c r="AZ7" i="22"/>
  <c r="AY7" i="22"/>
  <c r="AW7" i="22"/>
  <c r="AV7" i="22"/>
  <c r="AU7" i="22"/>
  <c r="AT7" i="22"/>
  <c r="AS7" i="22"/>
  <c r="AQ7" i="22"/>
  <c r="AP7" i="22"/>
  <c r="AO7" i="22"/>
  <c r="AN7" i="22"/>
  <c r="AM7" i="22"/>
  <c r="AL7" i="22"/>
  <c r="AK7" i="22"/>
  <c r="AJ7" i="22"/>
  <c r="AI7" i="22"/>
  <c r="AH7" i="22"/>
  <c r="AF7" i="22"/>
  <c r="AE7" i="22"/>
  <c r="AD7" i="22"/>
  <c r="AC7" i="22"/>
  <c r="AB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D7" i="22"/>
  <c r="CJ6" i="22"/>
  <c r="CI6" i="22"/>
  <c r="CH6" i="22"/>
  <c r="CG6" i="22"/>
  <c r="CF6" i="22"/>
  <c r="CE6" i="22"/>
  <c r="CD6" i="22"/>
  <c r="CC6" i="22"/>
  <c r="CB6" i="22"/>
  <c r="CA6" i="22"/>
  <c r="BY6" i="22"/>
  <c r="BX6" i="22"/>
  <c r="BW6" i="22"/>
  <c r="BV6" i="22"/>
  <c r="BU6" i="22"/>
  <c r="BT6" i="22"/>
  <c r="BR6" i="22"/>
  <c r="BQ6" i="22"/>
  <c r="BP6" i="22"/>
  <c r="BO6" i="22"/>
  <c r="BN6" i="22"/>
  <c r="BM6" i="22"/>
  <c r="BL6" i="22"/>
  <c r="BI6" i="22"/>
  <c r="BH6" i="22"/>
  <c r="BG6" i="22"/>
  <c r="BF6" i="22"/>
  <c r="BE6" i="22"/>
  <c r="BD6" i="22"/>
  <c r="BC6" i="22"/>
  <c r="BB6" i="22"/>
  <c r="BA6" i="22"/>
  <c r="AZ6" i="22"/>
  <c r="AY6" i="22"/>
  <c r="AW6" i="22"/>
  <c r="AV6" i="22"/>
  <c r="AU6" i="22"/>
  <c r="AT6" i="22"/>
  <c r="AS6" i="22"/>
  <c r="AQ6" i="22"/>
  <c r="AP6" i="22"/>
  <c r="AO6" i="22"/>
  <c r="AN6" i="22"/>
  <c r="AM6" i="22"/>
  <c r="AL6" i="22"/>
  <c r="AK6" i="22"/>
  <c r="AJ6" i="22"/>
  <c r="AI6" i="22"/>
  <c r="AH6" i="22"/>
  <c r="AF6" i="22"/>
  <c r="AE6" i="22"/>
  <c r="AD6" i="22"/>
  <c r="AC6" i="22"/>
  <c r="AB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E6" i="22"/>
  <c r="D6" i="22"/>
  <c r="C6" i="22"/>
  <c r="B6" i="22"/>
  <c r="CJ5" i="22"/>
  <c r="CI5" i="22"/>
  <c r="CH5" i="22"/>
  <c r="CG5" i="22"/>
  <c r="CF5" i="22"/>
  <c r="CE5" i="22"/>
  <c r="CD5" i="22"/>
  <c r="CC5" i="22"/>
  <c r="CB5" i="22"/>
  <c r="CA5" i="22"/>
  <c r="BY5" i="22"/>
  <c r="BX5" i="22"/>
  <c r="BW5" i="22"/>
  <c r="BV5" i="22"/>
  <c r="BU5" i="22"/>
  <c r="BT5" i="22"/>
  <c r="BS5" i="22"/>
  <c r="BR5" i="22"/>
  <c r="BQ5" i="22"/>
  <c r="BP5" i="22"/>
  <c r="BO5" i="22"/>
  <c r="BN5" i="22"/>
  <c r="BM5" i="22"/>
  <c r="BL5" i="22"/>
  <c r="BI5" i="22"/>
  <c r="BH5" i="22"/>
  <c r="BG5" i="22"/>
  <c r="BF5" i="22"/>
  <c r="BE5" i="22"/>
  <c r="BD5" i="22"/>
  <c r="BC5" i="22"/>
  <c r="BB5" i="22"/>
  <c r="BA5" i="22"/>
  <c r="AZ5" i="22"/>
  <c r="AY5" i="22"/>
  <c r="AW5" i="22"/>
  <c r="AV5" i="22"/>
  <c r="AU5" i="22"/>
  <c r="AT5" i="22"/>
  <c r="AS5" i="22"/>
  <c r="AR5" i="22"/>
  <c r="AQ5" i="22"/>
  <c r="AP5" i="22"/>
  <c r="AO5" i="22"/>
  <c r="AN5" i="22"/>
  <c r="AM5" i="22"/>
  <c r="AL5" i="22"/>
  <c r="AK5" i="22"/>
  <c r="AJ5" i="22"/>
  <c r="AI5" i="22"/>
  <c r="AH5" i="22"/>
  <c r="AG5" i="22"/>
  <c r="AF5" i="22"/>
  <c r="AE5" i="22"/>
  <c r="AD5" i="22"/>
  <c r="AC5" i="22"/>
  <c r="AB5" i="22"/>
  <c r="Z5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B5" i="22"/>
  <c r="CJ4" i="22"/>
  <c r="CI4" i="22"/>
  <c r="CH4" i="22"/>
  <c r="CG4" i="22"/>
  <c r="CF4" i="22"/>
  <c r="CE4" i="22"/>
  <c r="CD4" i="22"/>
  <c r="CC4" i="22"/>
  <c r="CB4" i="22"/>
  <c r="CA4" i="22"/>
  <c r="BY4" i="22"/>
  <c r="BX4" i="22"/>
  <c r="BW4" i="22"/>
  <c r="BV4" i="22"/>
  <c r="BU4" i="22"/>
  <c r="BT4" i="22"/>
  <c r="BS4" i="22"/>
  <c r="BR4" i="22"/>
  <c r="BQ4" i="22"/>
  <c r="BP4" i="22"/>
  <c r="BO4" i="22"/>
  <c r="BN4" i="22"/>
  <c r="BM4" i="22"/>
  <c r="BL4" i="22"/>
  <c r="BK4" i="22"/>
  <c r="BJ4" i="22"/>
  <c r="BI4" i="22"/>
  <c r="BH4" i="22"/>
  <c r="BG4" i="22"/>
  <c r="BF4" i="22"/>
  <c r="BE4" i="22"/>
  <c r="BD4" i="22"/>
  <c r="BC4" i="22"/>
  <c r="BB4" i="22"/>
  <c r="BA4" i="22"/>
  <c r="AZ4" i="22"/>
  <c r="AY4" i="22"/>
  <c r="AW4" i="22"/>
  <c r="AV4" i="22"/>
  <c r="AU4" i="22"/>
  <c r="AT4" i="22"/>
  <c r="AS4" i="22"/>
  <c r="AR4" i="22"/>
  <c r="AQ4" i="22"/>
  <c r="AP4" i="22"/>
  <c r="AO4" i="22"/>
  <c r="AN4" i="22"/>
  <c r="AM4" i="22"/>
  <c r="AL4" i="22"/>
  <c r="AK4" i="22"/>
  <c r="AJ4" i="22"/>
  <c r="AI4" i="22"/>
  <c r="AH4" i="22"/>
  <c r="AG4" i="22"/>
  <c r="AF4" i="22"/>
  <c r="AE4" i="22"/>
  <c r="AD4" i="22"/>
  <c r="AC4" i="22"/>
  <c r="AB4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E4" i="22"/>
  <c r="D4" i="22"/>
  <c r="C4" i="22"/>
  <c r="B4" i="22"/>
  <c r="CJ3" i="22"/>
  <c r="CI3" i="22"/>
  <c r="CH3" i="22"/>
  <c r="CG3" i="22"/>
  <c r="CF3" i="22"/>
  <c r="CE3" i="22"/>
  <c r="CD3" i="22"/>
  <c r="CC3" i="22"/>
  <c r="CB3" i="22"/>
  <c r="CA3" i="22"/>
  <c r="BY3" i="22"/>
  <c r="BX3" i="22"/>
  <c r="BW3" i="22"/>
  <c r="BV3" i="22"/>
  <c r="BU3" i="22"/>
  <c r="BT3" i="22"/>
  <c r="BS3" i="22"/>
  <c r="BR3" i="22"/>
  <c r="BQ3" i="22"/>
  <c r="BP3" i="22"/>
  <c r="BO3" i="22"/>
  <c r="BN3" i="22"/>
  <c r="BM3" i="22"/>
  <c r="BL3" i="22"/>
  <c r="BK3" i="22"/>
  <c r="BJ3" i="22"/>
  <c r="BI3" i="22"/>
  <c r="BH3" i="22"/>
  <c r="BG3" i="22"/>
  <c r="BF3" i="22"/>
  <c r="BE3" i="22"/>
  <c r="BD3" i="22"/>
  <c r="BC3" i="22"/>
  <c r="BB3" i="22"/>
  <c r="BA3" i="22"/>
  <c r="AZ3" i="22"/>
  <c r="AY3" i="22"/>
  <c r="AW3" i="22"/>
  <c r="AV3" i="22"/>
  <c r="AU3" i="22"/>
  <c r="AT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M2" i="22"/>
  <c r="AN2" i="22" s="1"/>
  <c r="AO2" i="22" s="1"/>
  <c r="AP2" i="22" s="1"/>
  <c r="AQ2" i="22" s="1"/>
  <c r="AR2" i="22" s="1"/>
  <c r="AS2" i="22" s="1"/>
  <c r="AT2" i="22" s="1"/>
  <c r="AU2" i="22" s="1"/>
  <c r="AV2" i="22" s="1"/>
  <c r="AW2" i="22" s="1"/>
  <c r="AX2" i="22" s="1"/>
  <c r="AY2" i="22" s="1"/>
  <c r="AZ2" i="22" s="1"/>
  <c r="BA2" i="22" s="1"/>
  <c r="BB2" i="22" s="1"/>
  <c r="BC2" i="22" s="1"/>
  <c r="BD2" i="22" s="1"/>
  <c r="BE2" i="22" s="1"/>
  <c r="BF2" i="22" s="1"/>
  <c r="BG2" i="22" s="1"/>
  <c r="BH2" i="22" s="1"/>
  <c r="BI2" i="22" s="1"/>
  <c r="BJ2" i="22" s="1"/>
  <c r="BK2" i="22" s="1"/>
  <c r="BL2" i="22" s="1"/>
  <c r="BM2" i="22" s="1"/>
  <c r="BN2" i="22" s="1"/>
  <c r="BO2" i="22" s="1"/>
  <c r="BP2" i="22" s="1"/>
  <c r="BQ2" i="22" s="1"/>
  <c r="BR2" i="22" s="1"/>
  <c r="BS2" i="22" s="1"/>
  <c r="BT2" i="22" s="1"/>
  <c r="BU2" i="22" s="1"/>
  <c r="BV2" i="22" s="1"/>
  <c r="BW2" i="22" s="1"/>
  <c r="BX2" i="22" s="1"/>
  <c r="BY2" i="22" s="1"/>
  <c r="BZ2" i="22" s="1"/>
  <c r="CA2" i="22" s="1"/>
  <c r="CB2" i="22" s="1"/>
  <c r="CC2" i="22" s="1"/>
  <c r="CD2" i="22" s="1"/>
  <c r="CE2" i="22" s="1"/>
  <c r="CF2" i="22" s="1"/>
  <c r="CG2" i="22" s="1"/>
  <c r="CH2" i="22" s="1"/>
  <c r="CI2" i="22" s="1"/>
  <c r="CJ2" i="22" s="1"/>
  <c r="AL2" i="22"/>
  <c r="CM6" i="19"/>
  <c r="CN6" i="19" s="1"/>
  <c r="CL6" i="19"/>
  <c r="CM5" i="19"/>
  <c r="CN5" i="19" s="1"/>
  <c r="CL5" i="19"/>
  <c r="CM4" i="19"/>
  <c r="CN4" i="19" s="1"/>
  <c r="CL4" i="19"/>
  <c r="CM3" i="19"/>
  <c r="CN3" i="19" s="1"/>
  <c r="CL3" i="19"/>
  <c r="CM1048576" i="19"/>
  <c r="AL2" i="19"/>
  <c r="AM2" i="19" s="1"/>
  <c r="AN2" i="19" s="1"/>
  <c r="AO2" i="19" s="1"/>
  <c r="AP2" i="19" s="1"/>
  <c r="AQ2" i="19" s="1"/>
  <c r="AR2" i="19" s="1"/>
  <c r="AS2" i="19" s="1"/>
  <c r="AT2" i="19" s="1"/>
  <c r="AU2" i="19" s="1"/>
  <c r="AV2" i="19" s="1"/>
  <c r="AW2" i="19" s="1"/>
  <c r="AX2" i="19" s="1"/>
  <c r="AY2" i="19" s="1"/>
  <c r="AZ2" i="19" s="1"/>
  <c r="BA2" i="19" s="1"/>
  <c r="BB2" i="19" s="1"/>
  <c r="BC2" i="19" s="1"/>
  <c r="BD2" i="19" s="1"/>
  <c r="BE2" i="19" s="1"/>
  <c r="BF2" i="19" s="1"/>
  <c r="BG2" i="19" s="1"/>
  <c r="BH2" i="19" s="1"/>
  <c r="BI2" i="19" s="1"/>
  <c r="BJ2" i="19" s="1"/>
  <c r="BK2" i="19" s="1"/>
  <c r="BL2" i="19" s="1"/>
  <c r="BM2" i="19" s="1"/>
  <c r="BN2" i="19" s="1"/>
  <c r="BO2" i="19" s="1"/>
  <c r="BP2" i="19" s="1"/>
  <c r="BQ2" i="19" s="1"/>
  <c r="BR2" i="19" s="1"/>
  <c r="BS2" i="19" s="1"/>
  <c r="BT2" i="19" s="1"/>
  <c r="BU2" i="19" s="1"/>
  <c r="BV2" i="19" s="1"/>
  <c r="BW2" i="19" s="1"/>
  <c r="BX2" i="19" s="1"/>
  <c r="BY2" i="19" s="1"/>
  <c r="BZ2" i="19" s="1"/>
  <c r="CA2" i="19" s="1"/>
  <c r="CB2" i="19" s="1"/>
  <c r="CC2" i="19" s="1"/>
  <c r="CD2" i="19" s="1"/>
  <c r="CE2" i="19" s="1"/>
  <c r="CF2" i="19" s="1"/>
  <c r="CG2" i="19" s="1"/>
  <c r="CH2" i="19" s="1"/>
  <c r="CI2" i="19" s="1"/>
  <c r="CJ2" i="19" s="1"/>
  <c r="CM6" i="17"/>
  <c r="CN6" i="17" s="1"/>
  <c r="CL6" i="17"/>
  <c r="CN5" i="17"/>
  <c r="CM5" i="17"/>
  <c r="CL5" i="17"/>
  <c r="CM4" i="17"/>
  <c r="CN4" i="17" s="1"/>
  <c r="CL4" i="17"/>
  <c r="CM3" i="17"/>
  <c r="CN3" i="17" s="1"/>
  <c r="CL3" i="17"/>
  <c r="CM1048576" i="17"/>
  <c r="AL2" i="17"/>
  <c r="AM2" i="17" s="1"/>
  <c r="AN2" i="17" s="1"/>
  <c r="AO2" i="17" s="1"/>
  <c r="AP2" i="17" s="1"/>
  <c r="AQ2" i="17" s="1"/>
  <c r="AR2" i="17" s="1"/>
  <c r="AS2" i="17" s="1"/>
  <c r="AT2" i="17" s="1"/>
  <c r="AU2" i="17" s="1"/>
  <c r="AV2" i="17" s="1"/>
  <c r="AW2" i="17" s="1"/>
  <c r="AX2" i="17" s="1"/>
  <c r="AY2" i="17" s="1"/>
  <c r="AZ2" i="17" s="1"/>
  <c r="BA2" i="17" s="1"/>
  <c r="BB2" i="17" s="1"/>
  <c r="BC2" i="17" s="1"/>
  <c r="BD2" i="17" s="1"/>
  <c r="BE2" i="17" s="1"/>
  <c r="BF2" i="17" s="1"/>
  <c r="BG2" i="17" s="1"/>
  <c r="BH2" i="17" s="1"/>
  <c r="BI2" i="17" s="1"/>
  <c r="BJ2" i="17" s="1"/>
  <c r="BK2" i="17" s="1"/>
  <c r="BL2" i="17" s="1"/>
  <c r="BM2" i="17" s="1"/>
  <c r="BN2" i="17" s="1"/>
  <c r="BO2" i="17" s="1"/>
  <c r="BP2" i="17" s="1"/>
  <c r="BQ2" i="17" s="1"/>
  <c r="BR2" i="17" s="1"/>
  <c r="BS2" i="17" s="1"/>
  <c r="BT2" i="17" s="1"/>
  <c r="BU2" i="17" s="1"/>
  <c r="BV2" i="17" s="1"/>
  <c r="BW2" i="17" s="1"/>
  <c r="BX2" i="17" s="1"/>
  <c r="BY2" i="17" s="1"/>
  <c r="BZ2" i="17" s="1"/>
  <c r="CA2" i="17" s="1"/>
  <c r="CB2" i="17" s="1"/>
  <c r="CC2" i="17" s="1"/>
  <c r="CD2" i="17" s="1"/>
  <c r="CE2" i="17" s="1"/>
  <c r="CF2" i="17" s="1"/>
  <c r="CG2" i="17" s="1"/>
  <c r="CH2" i="17" s="1"/>
  <c r="CI2" i="17" s="1"/>
  <c r="CJ2" i="17" s="1"/>
  <c r="CN6" i="12"/>
  <c r="CM6" i="12"/>
  <c r="CL6" i="12"/>
  <c r="CM1048576" i="12"/>
  <c r="CM5" i="12"/>
  <c r="CN5" i="12" s="1"/>
  <c r="CL5" i="12"/>
  <c r="CM4" i="12"/>
  <c r="CN4" i="12" s="1"/>
  <c r="CL4" i="12"/>
  <c r="CM3" i="12"/>
  <c r="CN3" i="12" s="1"/>
  <c r="CL3" i="12"/>
  <c r="AL2" i="12"/>
  <c r="AM2" i="12" s="1"/>
  <c r="AN2" i="12" s="1"/>
  <c r="AO2" i="12" s="1"/>
  <c r="AP2" i="12" s="1"/>
  <c r="AQ2" i="12" s="1"/>
  <c r="AR2" i="12" s="1"/>
  <c r="AS2" i="12" s="1"/>
  <c r="AT2" i="12" s="1"/>
  <c r="AU2" i="12" s="1"/>
  <c r="AV2" i="12" s="1"/>
  <c r="AW2" i="12" s="1"/>
  <c r="AX2" i="12" s="1"/>
  <c r="AY2" i="12" s="1"/>
  <c r="AZ2" i="12" s="1"/>
  <c r="BA2" i="12" s="1"/>
  <c r="BB2" i="12" s="1"/>
  <c r="BC2" i="12" s="1"/>
  <c r="BD2" i="12" s="1"/>
  <c r="BE2" i="12" s="1"/>
  <c r="BF2" i="12" s="1"/>
  <c r="BG2" i="12" s="1"/>
  <c r="BH2" i="12" s="1"/>
  <c r="BI2" i="12" s="1"/>
  <c r="BJ2" i="12" s="1"/>
  <c r="BK2" i="12" s="1"/>
  <c r="BL2" i="12" s="1"/>
  <c r="BM2" i="12" s="1"/>
  <c r="BN2" i="12" s="1"/>
  <c r="BO2" i="12" s="1"/>
  <c r="BP2" i="12" s="1"/>
  <c r="BQ2" i="12" s="1"/>
  <c r="BR2" i="12" s="1"/>
  <c r="BS2" i="12" s="1"/>
  <c r="BT2" i="12" s="1"/>
  <c r="BU2" i="12" s="1"/>
  <c r="BV2" i="12" s="1"/>
  <c r="BW2" i="12" s="1"/>
  <c r="BX2" i="12" s="1"/>
  <c r="BY2" i="12" s="1"/>
  <c r="BZ2" i="12" s="1"/>
  <c r="CA2" i="12" s="1"/>
  <c r="CB2" i="12" s="1"/>
  <c r="CC2" i="12" s="1"/>
  <c r="CD2" i="12" s="1"/>
  <c r="CE2" i="12" s="1"/>
  <c r="CF2" i="12" s="1"/>
  <c r="CG2" i="12" s="1"/>
  <c r="CH2" i="12" s="1"/>
  <c r="CI2" i="12" s="1"/>
  <c r="CJ2" i="12" s="1"/>
  <c r="AW3" i="10" l="1"/>
  <c r="CJ11" i="10"/>
  <c r="CJ10" i="10"/>
  <c r="CJ9" i="10"/>
  <c r="CJ8" i="10"/>
  <c r="CJ7" i="10"/>
  <c r="CJ6" i="10"/>
  <c r="CJ5" i="10"/>
  <c r="CJ4" i="10"/>
  <c r="CJ3" i="10"/>
  <c r="CI10" i="10"/>
  <c r="CI9" i="10"/>
  <c r="CI8" i="10"/>
  <c r="CI7" i="10"/>
  <c r="CI6" i="10"/>
  <c r="CI5" i="10"/>
  <c r="CI4" i="10"/>
  <c r="CI3" i="10"/>
  <c r="CH9" i="10"/>
  <c r="CH8" i="10"/>
  <c r="CH7" i="10"/>
  <c r="CH6" i="10"/>
  <c r="CH5" i="10"/>
  <c r="CH4" i="10"/>
  <c r="CH3" i="10"/>
  <c r="CG10" i="10"/>
  <c r="CG9" i="10"/>
  <c r="CG8" i="10"/>
  <c r="CG7" i="10"/>
  <c r="CG6" i="10"/>
  <c r="CG5" i="10"/>
  <c r="CG4" i="10"/>
  <c r="CG3" i="10"/>
  <c r="CF8" i="10"/>
  <c r="CF7" i="10"/>
  <c r="CF6" i="10"/>
  <c r="CF5" i="10"/>
  <c r="CF4" i="10"/>
  <c r="CF3" i="10"/>
  <c r="CE14" i="10"/>
  <c r="CE13" i="10"/>
  <c r="CE12" i="10"/>
  <c r="CE11" i="10"/>
  <c r="CE10" i="10"/>
  <c r="CE9" i="10"/>
  <c r="CE8" i="10"/>
  <c r="CE7" i="10"/>
  <c r="CE6" i="10"/>
  <c r="CE5" i="10"/>
  <c r="CE4" i="10"/>
  <c r="CE3" i="10"/>
  <c r="CD12" i="10"/>
  <c r="CD11" i="10"/>
  <c r="CD10" i="10"/>
  <c r="CD9" i="10"/>
  <c r="CD8" i="10"/>
  <c r="CD7" i="10"/>
  <c r="CD6" i="10"/>
  <c r="CD5" i="10"/>
  <c r="CD4" i="10"/>
  <c r="CD3" i="10"/>
  <c r="CC11" i="10"/>
  <c r="CC10" i="10"/>
  <c r="CC9" i="10"/>
  <c r="CC8" i="10"/>
  <c r="CC7" i="10"/>
  <c r="CC6" i="10"/>
  <c r="CC5" i="10"/>
  <c r="CC4" i="10"/>
  <c r="CC3" i="10"/>
  <c r="CB12" i="10"/>
  <c r="CB11" i="10"/>
  <c r="CB10" i="10"/>
  <c r="CB9" i="10"/>
  <c r="CB8" i="10"/>
  <c r="CB7" i="10"/>
  <c r="CB6" i="10"/>
  <c r="CB5" i="10"/>
  <c r="CB4" i="10"/>
  <c r="CB3" i="10"/>
  <c r="CA21" i="10"/>
  <c r="CA20" i="10"/>
  <c r="CA19" i="10"/>
  <c r="CA18" i="10"/>
  <c r="CA17" i="10"/>
  <c r="CA16" i="10"/>
  <c r="CA15" i="10"/>
  <c r="CA14" i="10"/>
  <c r="CA13" i="10"/>
  <c r="CA12" i="10"/>
  <c r="CA11" i="10"/>
  <c r="CA10" i="10"/>
  <c r="CA9" i="10"/>
  <c r="CA8" i="10"/>
  <c r="CA7" i="10"/>
  <c r="CA6" i="10"/>
  <c r="CA5" i="10"/>
  <c r="CA4" i="10"/>
  <c r="CA3" i="10"/>
  <c r="BY17" i="10"/>
  <c r="BY16" i="10"/>
  <c r="BY15" i="10"/>
  <c r="BY14" i="10"/>
  <c r="BY13" i="10"/>
  <c r="BY12" i="10"/>
  <c r="BY11" i="10"/>
  <c r="BY10" i="10"/>
  <c r="BY9" i="10"/>
  <c r="BY8" i="10"/>
  <c r="BY7" i="10"/>
  <c r="BY6" i="10"/>
  <c r="BY5" i="10"/>
  <c r="BY4" i="10"/>
  <c r="BY3" i="10"/>
  <c r="BX10" i="10"/>
  <c r="BX9" i="10"/>
  <c r="BX8" i="10"/>
  <c r="BX7" i="10"/>
  <c r="BX6" i="10"/>
  <c r="BX5" i="10"/>
  <c r="BX4" i="10"/>
  <c r="BX3" i="10"/>
  <c r="BW12" i="10"/>
  <c r="BW11" i="10"/>
  <c r="BW10" i="10"/>
  <c r="BW9" i="10"/>
  <c r="BW8" i="10"/>
  <c r="BW7" i="10"/>
  <c r="BW6" i="10"/>
  <c r="BW5" i="10"/>
  <c r="BW4" i="10"/>
  <c r="BW3" i="10"/>
  <c r="BV11" i="10"/>
  <c r="BV10" i="10"/>
  <c r="BV9" i="10"/>
  <c r="BV8" i="10"/>
  <c r="BV7" i="10"/>
  <c r="BV6" i="10"/>
  <c r="BV5" i="10"/>
  <c r="BV4" i="10"/>
  <c r="BV3" i="10"/>
  <c r="BU11" i="10"/>
  <c r="BU10" i="10"/>
  <c r="BU9" i="10"/>
  <c r="BU8" i="10"/>
  <c r="BU7" i="10"/>
  <c r="BU6" i="10"/>
  <c r="BU5" i="10"/>
  <c r="BU4" i="10"/>
  <c r="BU3" i="10"/>
  <c r="BT9" i="10"/>
  <c r="BT8" i="10"/>
  <c r="BT7" i="10"/>
  <c r="BT6" i="10"/>
  <c r="BT5" i="10"/>
  <c r="BT4" i="10"/>
  <c r="BT3" i="10"/>
  <c r="BS5" i="10"/>
  <c r="BS4" i="10"/>
  <c r="BS3" i="10"/>
  <c r="BR8" i="10"/>
  <c r="BR7" i="10"/>
  <c r="BR6" i="10"/>
  <c r="BR5" i="10"/>
  <c r="BR4" i="10"/>
  <c r="BR3" i="10"/>
  <c r="BQ10" i="10"/>
  <c r="BQ9" i="10"/>
  <c r="BQ8" i="10"/>
  <c r="BQ7" i="10"/>
  <c r="BQ6" i="10"/>
  <c r="BQ5" i="10"/>
  <c r="BQ4" i="10"/>
  <c r="BQ3" i="10"/>
  <c r="BP8" i="10"/>
  <c r="BP7" i="10"/>
  <c r="BP6" i="10"/>
  <c r="BP5" i="10"/>
  <c r="BP4" i="10"/>
  <c r="BP3" i="10"/>
  <c r="BO12" i="10"/>
  <c r="BO11" i="10"/>
  <c r="BO10" i="10"/>
  <c r="BO9" i="10"/>
  <c r="BO8" i="10"/>
  <c r="BO7" i="10"/>
  <c r="BO6" i="10"/>
  <c r="BO5" i="10"/>
  <c r="BO4" i="10"/>
  <c r="BO3" i="10"/>
  <c r="BN14" i="10"/>
  <c r="BN13" i="10"/>
  <c r="BN12" i="10"/>
  <c r="BN11" i="10"/>
  <c r="BN10" i="10"/>
  <c r="BN9" i="10"/>
  <c r="BN8" i="10"/>
  <c r="BN7" i="10"/>
  <c r="BN6" i="10"/>
  <c r="BN5" i="10"/>
  <c r="BN4" i="10"/>
  <c r="BN3" i="10"/>
  <c r="BM8" i="10"/>
  <c r="BM7" i="10"/>
  <c r="BM6" i="10"/>
  <c r="BM5" i="10"/>
  <c r="BM4" i="10"/>
  <c r="BM3" i="10"/>
  <c r="BL8" i="10"/>
  <c r="BL7" i="10"/>
  <c r="BL6" i="10"/>
  <c r="BL5" i="10"/>
  <c r="BL4" i="10"/>
  <c r="BL3" i="10"/>
  <c r="BK4" i="10"/>
  <c r="BK3" i="10"/>
  <c r="BJ4" i="10"/>
  <c r="BJ3" i="10"/>
  <c r="BI9" i="10"/>
  <c r="BI8" i="10"/>
  <c r="BI7" i="10"/>
  <c r="BI6" i="10"/>
  <c r="BI5" i="10"/>
  <c r="BI4" i="10"/>
  <c r="BI3" i="10"/>
  <c r="BH19" i="10"/>
  <c r="BH18" i="10"/>
  <c r="BH17" i="10"/>
  <c r="BH16" i="10"/>
  <c r="CM16" i="10" s="1"/>
  <c r="CN16" i="10" s="1"/>
  <c r="BH15" i="10"/>
  <c r="BH14" i="10"/>
  <c r="BH13" i="10"/>
  <c r="BH12" i="10"/>
  <c r="BH11" i="10"/>
  <c r="BH10" i="10"/>
  <c r="BH9" i="10"/>
  <c r="BH8" i="10"/>
  <c r="BH7" i="10"/>
  <c r="BH6" i="10"/>
  <c r="BH5" i="10"/>
  <c r="BH4" i="10"/>
  <c r="BH3" i="10"/>
  <c r="BG6" i="10"/>
  <c r="BG5" i="10"/>
  <c r="BG4" i="10"/>
  <c r="BG3" i="10"/>
  <c r="BF10" i="10"/>
  <c r="BF9" i="10"/>
  <c r="BF8" i="10"/>
  <c r="BF7" i="10"/>
  <c r="BF6" i="10"/>
  <c r="BF5" i="10"/>
  <c r="BF4" i="10"/>
  <c r="BF3" i="10"/>
  <c r="BE17" i="10"/>
  <c r="BE16" i="10"/>
  <c r="BE15" i="10"/>
  <c r="BE14" i="10"/>
  <c r="BE13" i="10"/>
  <c r="BE12" i="10"/>
  <c r="BE11" i="10"/>
  <c r="BE10" i="10"/>
  <c r="BE9" i="10"/>
  <c r="BE8" i="10"/>
  <c r="BE7" i="10"/>
  <c r="BE6" i="10"/>
  <c r="BE5" i="10"/>
  <c r="BE4" i="10"/>
  <c r="BE3" i="10"/>
  <c r="BD6" i="10"/>
  <c r="BD5" i="10"/>
  <c r="BD4" i="10"/>
  <c r="BD3" i="10"/>
  <c r="BC7" i="10"/>
  <c r="BC6" i="10"/>
  <c r="BC5" i="10"/>
  <c r="BC4" i="10"/>
  <c r="BC3" i="10"/>
  <c r="BB16" i="10"/>
  <c r="BB15" i="10"/>
  <c r="BB14" i="10"/>
  <c r="BB13" i="10"/>
  <c r="BB12" i="10"/>
  <c r="BB11" i="10"/>
  <c r="BB10" i="10"/>
  <c r="BB9" i="10"/>
  <c r="BB8" i="10"/>
  <c r="BB7" i="10"/>
  <c r="BB6" i="10"/>
  <c r="BB5" i="10"/>
  <c r="BB4" i="10"/>
  <c r="BB3" i="10"/>
  <c r="BA11" i="10"/>
  <c r="BA10" i="10"/>
  <c r="BA9" i="10"/>
  <c r="BA8" i="10"/>
  <c r="BA7" i="10"/>
  <c r="BA6" i="10"/>
  <c r="BA5" i="10"/>
  <c r="BA4" i="10"/>
  <c r="BA3" i="10"/>
  <c r="AZ10" i="10"/>
  <c r="AZ9" i="10"/>
  <c r="AZ8" i="10"/>
  <c r="AZ7" i="10"/>
  <c r="AZ6" i="10"/>
  <c r="AZ5" i="10"/>
  <c r="AZ4" i="10"/>
  <c r="AZ3" i="10"/>
  <c r="AY10" i="10"/>
  <c r="AY9" i="10"/>
  <c r="AY8" i="10"/>
  <c r="AY7" i="10"/>
  <c r="AY6" i="10"/>
  <c r="AY5" i="10"/>
  <c r="AY4" i="10"/>
  <c r="AY3" i="10"/>
  <c r="AW22" i="10"/>
  <c r="AW21" i="10"/>
  <c r="AW20" i="10"/>
  <c r="CL20" i="10" s="1"/>
  <c r="AW19" i="10"/>
  <c r="CM19" i="10" s="1"/>
  <c r="CN19" i="10" s="1"/>
  <c r="AW18" i="10"/>
  <c r="AW17" i="10"/>
  <c r="AW16" i="10"/>
  <c r="AW15" i="10"/>
  <c r="AW14" i="10"/>
  <c r="AW13" i="10"/>
  <c r="AW12" i="10"/>
  <c r="AW11" i="10"/>
  <c r="AW10" i="10"/>
  <c r="AW9" i="10"/>
  <c r="AW8" i="10"/>
  <c r="AW7" i="10"/>
  <c r="AW6" i="10"/>
  <c r="AW5" i="10"/>
  <c r="AW4" i="10"/>
  <c r="AV10" i="10"/>
  <c r="AV9" i="10"/>
  <c r="AV8" i="10"/>
  <c r="AV7" i="10"/>
  <c r="AV6" i="10"/>
  <c r="AV5" i="10"/>
  <c r="AV4" i="10"/>
  <c r="AV3" i="10"/>
  <c r="AU10" i="10"/>
  <c r="AU9" i="10"/>
  <c r="AU8" i="10"/>
  <c r="AU7" i="10"/>
  <c r="AU6" i="10"/>
  <c r="AU5" i="10"/>
  <c r="AU4" i="10"/>
  <c r="AU3" i="10"/>
  <c r="AT13" i="10"/>
  <c r="AT12" i="10"/>
  <c r="AT11" i="10"/>
  <c r="AT10" i="10"/>
  <c r="AT9" i="10"/>
  <c r="AT8" i="10"/>
  <c r="AT7" i="10"/>
  <c r="AT6" i="10"/>
  <c r="AT5" i="10"/>
  <c r="AT4" i="10"/>
  <c r="AT3" i="10"/>
  <c r="AS9" i="10"/>
  <c r="AS8" i="10"/>
  <c r="AS7" i="10"/>
  <c r="AS6" i="10"/>
  <c r="AS5" i="10"/>
  <c r="AS4" i="10"/>
  <c r="AS3" i="10"/>
  <c r="AR5" i="10"/>
  <c r="AR4" i="10"/>
  <c r="AR3" i="10"/>
  <c r="AQ8" i="10"/>
  <c r="AQ7" i="10"/>
  <c r="AQ6" i="10"/>
  <c r="AQ5" i="10"/>
  <c r="AQ4" i="10"/>
  <c r="AQ3" i="10"/>
  <c r="AP7" i="10"/>
  <c r="AP6" i="10"/>
  <c r="AP5" i="10"/>
  <c r="AP4" i="10"/>
  <c r="AP3" i="10"/>
  <c r="AO12" i="10"/>
  <c r="AO11" i="10"/>
  <c r="AO10" i="10"/>
  <c r="AO9" i="10"/>
  <c r="AO8" i="10"/>
  <c r="AO7" i="10"/>
  <c r="AO6" i="10"/>
  <c r="AO5" i="10"/>
  <c r="AO4" i="10"/>
  <c r="AO3" i="10"/>
  <c r="AN12" i="10"/>
  <c r="AN11" i="10"/>
  <c r="AN10" i="10"/>
  <c r="AN9" i="10"/>
  <c r="AN8" i="10"/>
  <c r="AN7" i="10"/>
  <c r="AN6" i="10"/>
  <c r="AN5" i="10"/>
  <c r="AN4" i="10"/>
  <c r="AN3" i="10"/>
  <c r="AM13" i="10"/>
  <c r="AM12" i="10"/>
  <c r="AM11" i="10"/>
  <c r="AM10" i="10"/>
  <c r="AM9" i="10"/>
  <c r="AM8" i="10"/>
  <c r="AM7" i="10"/>
  <c r="AM6" i="10"/>
  <c r="AM5" i="10"/>
  <c r="AM4" i="10"/>
  <c r="AM3" i="10"/>
  <c r="AL9" i="10"/>
  <c r="AL8" i="10"/>
  <c r="AL7" i="10"/>
  <c r="AL6" i="10"/>
  <c r="AL5" i="10"/>
  <c r="AL4" i="10"/>
  <c r="AL3" i="10"/>
  <c r="AK10" i="10"/>
  <c r="AK9" i="10"/>
  <c r="AK8" i="10"/>
  <c r="AK7" i="10"/>
  <c r="AK6" i="10"/>
  <c r="AK5" i="10"/>
  <c r="AK4" i="10"/>
  <c r="AK3" i="10"/>
  <c r="AJ11" i="10"/>
  <c r="AJ10" i="10"/>
  <c r="AJ9" i="10"/>
  <c r="AJ8" i="10"/>
  <c r="AJ7" i="10"/>
  <c r="AJ6" i="10"/>
  <c r="AJ5" i="10"/>
  <c r="AJ4" i="10"/>
  <c r="AJ3" i="10"/>
  <c r="AI9" i="10"/>
  <c r="AI8" i="10"/>
  <c r="AI7" i="10"/>
  <c r="AI6" i="10"/>
  <c r="AI5" i="10"/>
  <c r="AI4" i="10"/>
  <c r="AI3" i="10"/>
  <c r="AH8" i="10"/>
  <c r="AH7" i="10"/>
  <c r="AH6" i="10"/>
  <c r="AH5" i="10"/>
  <c r="AH4" i="10"/>
  <c r="AH3" i="10"/>
  <c r="AG5" i="10"/>
  <c r="AG4" i="10"/>
  <c r="AG3" i="10"/>
  <c r="AF10" i="10"/>
  <c r="AF9" i="10"/>
  <c r="AF8" i="10"/>
  <c r="AF7" i="10"/>
  <c r="AF6" i="10"/>
  <c r="AF5" i="10"/>
  <c r="AF4" i="10"/>
  <c r="AF3" i="10"/>
  <c r="AE8" i="10"/>
  <c r="AE7" i="10"/>
  <c r="AE6" i="10"/>
  <c r="AE5" i="10"/>
  <c r="AE4" i="10"/>
  <c r="AE3" i="10"/>
  <c r="AD11" i="10"/>
  <c r="AD10" i="10"/>
  <c r="AD9" i="10"/>
  <c r="AD8" i="10"/>
  <c r="AD7" i="10"/>
  <c r="AD6" i="10"/>
  <c r="AD5" i="10"/>
  <c r="AD4" i="10"/>
  <c r="AD3" i="10"/>
  <c r="AC7" i="10"/>
  <c r="AC6" i="10"/>
  <c r="AC5" i="10"/>
  <c r="AC4" i="10"/>
  <c r="AC3" i="10"/>
  <c r="AB8" i="10"/>
  <c r="AB7" i="10"/>
  <c r="AB6" i="10"/>
  <c r="AB5" i="10"/>
  <c r="AB4" i="10"/>
  <c r="AB3" i="10"/>
  <c r="Y8" i="10"/>
  <c r="Z6" i="10"/>
  <c r="Z5" i="10"/>
  <c r="Z4" i="10"/>
  <c r="Z3" i="10"/>
  <c r="Y7" i="10"/>
  <c r="Y6" i="10"/>
  <c r="Y5" i="10"/>
  <c r="Y4" i="10"/>
  <c r="Y3" i="10"/>
  <c r="X7" i="10"/>
  <c r="X6" i="10"/>
  <c r="X5" i="10"/>
  <c r="X4" i="10"/>
  <c r="X3" i="10"/>
  <c r="W11" i="10"/>
  <c r="W10" i="10"/>
  <c r="W9" i="10"/>
  <c r="W8" i="10"/>
  <c r="W7" i="10"/>
  <c r="W6" i="10"/>
  <c r="W5" i="10"/>
  <c r="W4" i="10"/>
  <c r="W3" i="10"/>
  <c r="V12" i="10"/>
  <c r="V11" i="10"/>
  <c r="V10" i="10"/>
  <c r="V9" i="10"/>
  <c r="V8" i="10"/>
  <c r="V7" i="10"/>
  <c r="V6" i="10"/>
  <c r="V5" i="10"/>
  <c r="V4" i="10"/>
  <c r="V3" i="10"/>
  <c r="U12" i="10"/>
  <c r="U11" i="10"/>
  <c r="U10" i="10"/>
  <c r="U9" i="10"/>
  <c r="U8" i="10"/>
  <c r="U7" i="10"/>
  <c r="U6" i="10"/>
  <c r="U5" i="10"/>
  <c r="U4" i="10"/>
  <c r="U3" i="10"/>
  <c r="T12" i="10"/>
  <c r="T11" i="10"/>
  <c r="T10" i="10"/>
  <c r="T9" i="10"/>
  <c r="T8" i="10"/>
  <c r="T7" i="10"/>
  <c r="T6" i="10"/>
  <c r="T5" i="10"/>
  <c r="T4" i="10"/>
  <c r="T3" i="10"/>
  <c r="S9" i="10"/>
  <c r="S8" i="10"/>
  <c r="S7" i="10"/>
  <c r="S6" i="10"/>
  <c r="S5" i="10"/>
  <c r="S4" i="10"/>
  <c r="S3" i="10"/>
  <c r="R16" i="10"/>
  <c r="R15" i="10"/>
  <c r="R14" i="10"/>
  <c r="R13" i="10"/>
  <c r="R12" i="10"/>
  <c r="R11" i="10"/>
  <c r="R10" i="10"/>
  <c r="R9" i="10"/>
  <c r="R8" i="10"/>
  <c r="R7" i="10"/>
  <c r="R6" i="10"/>
  <c r="R5" i="10"/>
  <c r="R4" i="10"/>
  <c r="R3" i="10"/>
  <c r="Q12" i="10"/>
  <c r="Q11" i="10"/>
  <c r="Q10" i="10"/>
  <c r="Q9" i="10"/>
  <c r="Q8" i="10"/>
  <c r="Q7" i="10"/>
  <c r="Q6" i="10"/>
  <c r="Q5" i="10"/>
  <c r="Q4" i="10"/>
  <c r="Q3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P5" i="10"/>
  <c r="P4" i="10"/>
  <c r="P3" i="10"/>
  <c r="O12" i="10"/>
  <c r="O11" i="10"/>
  <c r="O10" i="10"/>
  <c r="O9" i="10"/>
  <c r="O8" i="10"/>
  <c r="O7" i="10"/>
  <c r="O6" i="10"/>
  <c r="O5" i="10"/>
  <c r="O4" i="10"/>
  <c r="O3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M14" i="10"/>
  <c r="M13" i="10"/>
  <c r="M12" i="10"/>
  <c r="M11" i="10"/>
  <c r="M10" i="10"/>
  <c r="M9" i="10"/>
  <c r="M8" i="10"/>
  <c r="M7" i="10"/>
  <c r="M6" i="10"/>
  <c r="M5" i="10"/>
  <c r="M4" i="10"/>
  <c r="M3" i="10"/>
  <c r="L13" i="10"/>
  <c r="L12" i="10"/>
  <c r="L11" i="10"/>
  <c r="L10" i="10"/>
  <c r="L9" i="10"/>
  <c r="L8" i="10"/>
  <c r="L7" i="10"/>
  <c r="L6" i="10"/>
  <c r="L5" i="10"/>
  <c r="L4" i="10"/>
  <c r="L3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J8" i="10"/>
  <c r="J7" i="10"/>
  <c r="J6" i="10"/>
  <c r="J5" i="10"/>
  <c r="J4" i="10"/>
  <c r="J3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H9" i="10"/>
  <c r="H8" i="10"/>
  <c r="H7" i="10"/>
  <c r="H6" i="10"/>
  <c r="H5" i="10"/>
  <c r="H4" i="10"/>
  <c r="H3" i="10"/>
  <c r="G13" i="10"/>
  <c r="G12" i="10"/>
  <c r="G11" i="10"/>
  <c r="G10" i="10"/>
  <c r="G9" i="10"/>
  <c r="G8" i="10"/>
  <c r="G7" i="10"/>
  <c r="G6" i="10"/>
  <c r="G5" i="10"/>
  <c r="G4" i="10"/>
  <c r="G3" i="10"/>
  <c r="F13" i="10"/>
  <c r="F12" i="10"/>
  <c r="F11" i="10"/>
  <c r="F10" i="10"/>
  <c r="F9" i="10"/>
  <c r="F8" i="10"/>
  <c r="F7" i="10"/>
  <c r="F6" i="10"/>
  <c r="F5" i="10"/>
  <c r="F4" i="10"/>
  <c r="F3" i="10"/>
  <c r="E6" i="10"/>
  <c r="E5" i="10"/>
  <c r="E4" i="10"/>
  <c r="E3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C6" i="10"/>
  <c r="C5" i="10"/>
  <c r="C4" i="10"/>
  <c r="C3" i="10"/>
  <c r="B6" i="10"/>
  <c r="B5" i="10"/>
  <c r="B4" i="10"/>
  <c r="B3" i="10"/>
  <c r="CM1048576" i="10"/>
  <c r="CL22" i="10"/>
  <c r="CM21" i="10"/>
  <c r="CN21" i="10" s="1"/>
  <c r="CL21" i="10"/>
  <c r="CM20" i="10"/>
  <c r="CN20" i="10" s="1"/>
  <c r="AL2" i="10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BA2" i="10" s="1"/>
  <c r="BB2" i="10" s="1"/>
  <c r="BC2" i="10" s="1"/>
  <c r="BD2" i="10" s="1"/>
  <c r="BE2" i="10" s="1"/>
  <c r="BF2" i="10" s="1"/>
  <c r="BG2" i="10" s="1"/>
  <c r="BH2" i="10" s="1"/>
  <c r="BI2" i="10" s="1"/>
  <c r="BJ2" i="10" s="1"/>
  <c r="BK2" i="10" s="1"/>
  <c r="BL2" i="10" s="1"/>
  <c r="BM2" i="10" s="1"/>
  <c r="BN2" i="10" s="1"/>
  <c r="BO2" i="10" s="1"/>
  <c r="BP2" i="10" s="1"/>
  <c r="BQ2" i="10" s="1"/>
  <c r="BR2" i="10" s="1"/>
  <c r="BS2" i="10" s="1"/>
  <c r="BT2" i="10" s="1"/>
  <c r="BU2" i="10" s="1"/>
  <c r="BV2" i="10" s="1"/>
  <c r="BW2" i="10" s="1"/>
  <c r="BX2" i="10" s="1"/>
  <c r="BY2" i="10" s="1"/>
  <c r="BZ2" i="10" s="1"/>
  <c r="CA2" i="10" s="1"/>
  <c r="CB2" i="10" s="1"/>
  <c r="CC2" i="10" s="1"/>
  <c r="CD2" i="10" s="1"/>
  <c r="CE2" i="10" s="1"/>
  <c r="CF2" i="10" s="1"/>
  <c r="CG2" i="10" s="1"/>
  <c r="CH2" i="10" s="1"/>
  <c r="CI2" i="10" s="1"/>
  <c r="CJ2" i="10" s="1"/>
  <c r="CM1048576" i="9"/>
  <c r="CL22" i="9"/>
  <c r="CM21" i="9"/>
  <c r="CN21" i="9" s="1"/>
  <c r="CL21" i="9"/>
  <c r="CM20" i="9"/>
  <c r="CN20" i="9" s="1"/>
  <c r="CL20" i="9"/>
  <c r="CM19" i="9"/>
  <c r="CN19" i="9" s="1"/>
  <c r="CL19" i="9"/>
  <c r="CM18" i="9"/>
  <c r="CN18" i="9" s="1"/>
  <c r="CL18" i="9"/>
  <c r="CM17" i="9"/>
  <c r="CN17" i="9" s="1"/>
  <c r="CL17" i="9"/>
  <c r="CM16" i="9"/>
  <c r="CN16" i="9" s="1"/>
  <c r="CL16" i="9"/>
  <c r="CM15" i="9"/>
  <c r="CN15" i="9" s="1"/>
  <c r="CL15" i="9"/>
  <c r="CM14" i="9"/>
  <c r="CN14" i="9" s="1"/>
  <c r="CL14" i="9"/>
  <c r="CM13" i="9"/>
  <c r="CN13" i="9" s="1"/>
  <c r="CL13" i="9"/>
  <c r="CM12" i="9"/>
  <c r="CN12" i="9" s="1"/>
  <c r="CL12" i="9"/>
  <c r="CM11" i="9"/>
  <c r="CN11" i="9" s="1"/>
  <c r="CL11" i="9"/>
  <c r="CM10" i="9"/>
  <c r="CN10" i="9" s="1"/>
  <c r="CL10" i="9"/>
  <c r="CM9" i="9"/>
  <c r="CN9" i="9" s="1"/>
  <c r="CL9" i="9"/>
  <c r="CM8" i="9"/>
  <c r="CN8" i="9" s="1"/>
  <c r="CL8" i="9"/>
  <c r="CM7" i="9"/>
  <c r="CN7" i="9" s="1"/>
  <c r="CL7" i="9"/>
  <c r="CM6" i="9"/>
  <c r="CN6" i="9" s="1"/>
  <c r="CL6" i="9"/>
  <c r="CM5" i="9"/>
  <c r="CN5" i="9" s="1"/>
  <c r="CL5" i="9"/>
  <c r="CM4" i="9"/>
  <c r="CN4" i="9" s="1"/>
  <c r="CL4" i="9"/>
  <c r="CM3" i="9"/>
  <c r="CN3" i="9" s="1"/>
  <c r="CL3" i="9"/>
  <c r="AM2" i="9"/>
  <c r="AN2" i="9" s="1"/>
  <c r="AO2" i="9" s="1"/>
  <c r="AP2" i="9" s="1"/>
  <c r="AQ2" i="9" s="1"/>
  <c r="AR2" i="9" s="1"/>
  <c r="AS2" i="9" s="1"/>
  <c r="AT2" i="9" s="1"/>
  <c r="AU2" i="9" s="1"/>
  <c r="AV2" i="9" s="1"/>
  <c r="AW2" i="9" s="1"/>
  <c r="AX2" i="9" s="1"/>
  <c r="AY2" i="9" s="1"/>
  <c r="AZ2" i="9" s="1"/>
  <c r="BA2" i="9" s="1"/>
  <c r="BB2" i="9" s="1"/>
  <c r="BC2" i="9" s="1"/>
  <c r="BD2" i="9" s="1"/>
  <c r="BE2" i="9" s="1"/>
  <c r="BF2" i="9" s="1"/>
  <c r="BG2" i="9" s="1"/>
  <c r="BH2" i="9" s="1"/>
  <c r="BI2" i="9" s="1"/>
  <c r="BJ2" i="9" s="1"/>
  <c r="BK2" i="9" s="1"/>
  <c r="BL2" i="9" s="1"/>
  <c r="BM2" i="9" s="1"/>
  <c r="BN2" i="9" s="1"/>
  <c r="BO2" i="9" s="1"/>
  <c r="BP2" i="9" s="1"/>
  <c r="BQ2" i="9" s="1"/>
  <c r="BR2" i="9" s="1"/>
  <c r="BS2" i="9" s="1"/>
  <c r="BT2" i="9" s="1"/>
  <c r="BU2" i="9" s="1"/>
  <c r="BV2" i="9" s="1"/>
  <c r="BW2" i="9" s="1"/>
  <c r="BX2" i="9" s="1"/>
  <c r="BY2" i="9" s="1"/>
  <c r="BZ2" i="9" s="1"/>
  <c r="CA2" i="9" s="1"/>
  <c r="CB2" i="9" s="1"/>
  <c r="CC2" i="9" s="1"/>
  <c r="CD2" i="9" s="1"/>
  <c r="CE2" i="9" s="1"/>
  <c r="CF2" i="9" s="1"/>
  <c r="CG2" i="9" s="1"/>
  <c r="CH2" i="9" s="1"/>
  <c r="CI2" i="9" s="1"/>
  <c r="CJ2" i="9" s="1"/>
  <c r="AL2" i="9"/>
  <c r="CM18" i="10" l="1"/>
  <c r="CN18" i="10" s="1"/>
  <c r="CM12" i="10"/>
  <c r="CN12" i="10" s="1"/>
  <c r="CL16" i="10"/>
  <c r="CL13" i="10"/>
  <c r="CM11" i="10"/>
  <c r="CN11" i="10" s="1"/>
  <c r="CL12" i="10"/>
  <c r="CM15" i="10"/>
  <c r="CN15" i="10" s="1"/>
  <c r="CL19" i="10"/>
  <c r="CL7" i="10"/>
  <c r="CL8" i="10"/>
  <c r="CM8" i="10"/>
  <c r="CN8" i="10" s="1"/>
  <c r="CM17" i="10"/>
  <c r="CN17" i="10" s="1"/>
  <c r="CM9" i="10"/>
  <c r="CN9" i="10" s="1"/>
  <c r="CL11" i="10"/>
  <c r="CL15" i="10"/>
  <c r="CM14" i="10"/>
  <c r="CN14" i="10" s="1"/>
  <c r="CL18" i="10"/>
  <c r="CL10" i="10"/>
  <c r="CM7" i="10"/>
  <c r="CN7" i="10" s="1"/>
  <c r="CL9" i="10"/>
  <c r="CM13" i="10"/>
  <c r="CN13" i="10" s="1"/>
  <c r="CL4" i="10"/>
  <c r="CL6" i="10"/>
  <c r="CM6" i="10"/>
  <c r="CN6" i="10" s="1"/>
  <c r="CM10" i="10"/>
  <c r="CN10" i="10" s="1"/>
  <c r="CM5" i="10"/>
  <c r="CN5" i="10" s="1"/>
  <c r="CL17" i="10"/>
  <c r="CL14" i="10"/>
  <c r="CM4" i="10"/>
  <c r="CN4" i="10" s="1"/>
  <c r="CL5" i="10"/>
  <c r="CM1048576" i="6"/>
  <c r="CL22" i="6"/>
  <c r="CM21" i="6"/>
  <c r="CN21" i="6" s="1"/>
  <c r="CL21" i="6"/>
  <c r="CM20" i="6"/>
  <c r="CN20" i="6" s="1"/>
  <c r="CL20" i="6"/>
  <c r="CM19" i="6"/>
  <c r="CN19" i="6" s="1"/>
  <c r="CL19" i="6"/>
  <c r="CM18" i="6"/>
  <c r="CN18" i="6" s="1"/>
  <c r="CL18" i="6"/>
  <c r="CM17" i="6"/>
  <c r="CN17" i="6" s="1"/>
  <c r="CL17" i="6"/>
  <c r="CM16" i="6"/>
  <c r="CN16" i="6" s="1"/>
  <c r="CL16" i="6"/>
  <c r="CM15" i="6"/>
  <c r="CN15" i="6" s="1"/>
  <c r="CL15" i="6"/>
  <c r="CM14" i="6"/>
  <c r="CN14" i="6" s="1"/>
  <c r="CL14" i="6"/>
  <c r="CM13" i="6"/>
  <c r="CN13" i="6" s="1"/>
  <c r="CL13" i="6"/>
  <c r="CM12" i="6"/>
  <c r="CN12" i="6" s="1"/>
  <c r="CL12" i="6"/>
  <c r="CM11" i="6"/>
  <c r="CN11" i="6" s="1"/>
  <c r="CL11" i="6"/>
  <c r="CM10" i="6"/>
  <c r="CN10" i="6" s="1"/>
  <c r="CL10" i="6"/>
  <c r="CM9" i="6"/>
  <c r="CN9" i="6" s="1"/>
  <c r="CL9" i="6"/>
  <c r="CM8" i="6"/>
  <c r="CN8" i="6" s="1"/>
  <c r="CL8" i="6"/>
  <c r="CM7" i="6"/>
  <c r="CN7" i="6" s="1"/>
  <c r="CL7" i="6"/>
  <c r="CM6" i="6"/>
  <c r="CN6" i="6" s="1"/>
  <c r="CL6" i="6"/>
  <c r="CM5" i="6"/>
  <c r="CN5" i="6" s="1"/>
  <c r="CL5" i="6"/>
  <c r="CM4" i="6"/>
  <c r="CN4" i="6" s="1"/>
  <c r="CL4" i="6"/>
  <c r="CM3" i="6"/>
  <c r="CN3" i="6" s="1"/>
  <c r="CL3" i="6"/>
  <c r="AM2" i="6"/>
  <c r="AN2" i="6" s="1"/>
  <c r="AO2" i="6" s="1"/>
  <c r="AP2" i="6" s="1"/>
  <c r="AQ2" i="6" s="1"/>
  <c r="AR2" i="6" s="1"/>
  <c r="AS2" i="6" s="1"/>
  <c r="AT2" i="6" s="1"/>
  <c r="AU2" i="6" s="1"/>
  <c r="AV2" i="6" s="1"/>
  <c r="AW2" i="6" s="1"/>
  <c r="AX2" i="6" s="1"/>
  <c r="AY2" i="6" s="1"/>
  <c r="AZ2" i="6" s="1"/>
  <c r="BA2" i="6" s="1"/>
  <c r="BB2" i="6" s="1"/>
  <c r="BC2" i="6" s="1"/>
  <c r="BD2" i="6" s="1"/>
  <c r="BE2" i="6" s="1"/>
  <c r="BF2" i="6" s="1"/>
  <c r="BG2" i="6" s="1"/>
  <c r="BH2" i="6" s="1"/>
  <c r="BI2" i="6" s="1"/>
  <c r="BJ2" i="6" s="1"/>
  <c r="BK2" i="6" s="1"/>
  <c r="BL2" i="6" s="1"/>
  <c r="BM2" i="6" s="1"/>
  <c r="BN2" i="6" s="1"/>
  <c r="BO2" i="6" s="1"/>
  <c r="BP2" i="6" s="1"/>
  <c r="BQ2" i="6" s="1"/>
  <c r="BR2" i="6" s="1"/>
  <c r="BS2" i="6" s="1"/>
  <c r="BT2" i="6" s="1"/>
  <c r="BU2" i="6" s="1"/>
  <c r="BV2" i="6" s="1"/>
  <c r="BW2" i="6" s="1"/>
  <c r="BX2" i="6" s="1"/>
  <c r="BY2" i="6" s="1"/>
  <c r="BZ2" i="6" s="1"/>
  <c r="CA2" i="6" s="1"/>
  <c r="CB2" i="6" s="1"/>
  <c r="CC2" i="6" s="1"/>
  <c r="CD2" i="6" s="1"/>
  <c r="CE2" i="6" s="1"/>
  <c r="CF2" i="6" s="1"/>
  <c r="CG2" i="6" s="1"/>
  <c r="CH2" i="6" s="1"/>
  <c r="CI2" i="6" s="1"/>
  <c r="CJ2" i="6" s="1"/>
  <c r="AL2" i="6"/>
  <c r="CM1048576" i="3" l="1"/>
  <c r="CL22" i="3"/>
  <c r="CM21" i="3"/>
  <c r="CN21" i="3" s="1"/>
  <c r="CL21" i="3"/>
  <c r="CM20" i="3"/>
  <c r="CN20" i="3" s="1"/>
  <c r="CL20" i="3"/>
  <c r="CM19" i="3"/>
  <c r="CN19" i="3" s="1"/>
  <c r="CL19" i="3"/>
  <c r="CM18" i="3"/>
  <c r="CN18" i="3" s="1"/>
  <c r="CL18" i="3"/>
  <c r="CM17" i="3"/>
  <c r="CN17" i="3" s="1"/>
  <c r="CL17" i="3"/>
  <c r="CM16" i="3"/>
  <c r="CN16" i="3" s="1"/>
  <c r="CL16" i="3"/>
  <c r="CM15" i="3"/>
  <c r="CN15" i="3" s="1"/>
  <c r="CL15" i="3"/>
  <c r="CM14" i="3"/>
  <c r="CN14" i="3" s="1"/>
  <c r="CL14" i="3"/>
  <c r="CM13" i="3"/>
  <c r="CN13" i="3" s="1"/>
  <c r="CL13" i="3"/>
  <c r="CM12" i="3"/>
  <c r="CN12" i="3" s="1"/>
  <c r="CL12" i="3"/>
  <c r="CM11" i="3"/>
  <c r="CN11" i="3" s="1"/>
  <c r="CL11" i="3"/>
  <c r="CM10" i="3"/>
  <c r="CN10" i="3" s="1"/>
  <c r="CL10" i="3"/>
  <c r="CM9" i="3"/>
  <c r="CN9" i="3" s="1"/>
  <c r="CL9" i="3"/>
  <c r="CM8" i="3"/>
  <c r="CN8" i="3" s="1"/>
  <c r="CL8" i="3"/>
  <c r="CM7" i="3"/>
  <c r="CN7" i="3" s="1"/>
  <c r="CL7" i="3"/>
  <c r="CM6" i="3"/>
  <c r="CN6" i="3" s="1"/>
  <c r="CL6" i="3"/>
  <c r="CM5" i="3"/>
  <c r="CN5" i="3" s="1"/>
  <c r="CL5" i="3"/>
  <c r="CM4" i="3"/>
  <c r="CN4" i="3" s="1"/>
  <c r="CL4" i="3"/>
  <c r="CM3" i="3"/>
  <c r="CN3" i="3" s="1"/>
  <c r="CL3" i="3"/>
  <c r="AM2" i="3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D2" i="3" s="1"/>
  <c r="BE2" i="3" s="1"/>
  <c r="BF2" i="3" s="1"/>
  <c r="BG2" i="3" s="1"/>
  <c r="BH2" i="3" s="1"/>
  <c r="BI2" i="3" s="1"/>
  <c r="BJ2" i="3" s="1"/>
  <c r="BK2" i="3" s="1"/>
  <c r="BL2" i="3" s="1"/>
  <c r="BM2" i="3" s="1"/>
  <c r="BN2" i="3" s="1"/>
  <c r="BO2" i="3" s="1"/>
  <c r="BP2" i="3" s="1"/>
  <c r="BQ2" i="3" s="1"/>
  <c r="BR2" i="3" s="1"/>
  <c r="BS2" i="3" s="1"/>
  <c r="BT2" i="3" s="1"/>
  <c r="BU2" i="3" s="1"/>
  <c r="BV2" i="3" s="1"/>
  <c r="BW2" i="3" s="1"/>
  <c r="BX2" i="3" s="1"/>
  <c r="BY2" i="3" s="1"/>
  <c r="BZ2" i="3" s="1"/>
  <c r="CA2" i="3" s="1"/>
  <c r="CB2" i="3" s="1"/>
  <c r="CC2" i="3" s="1"/>
  <c r="CD2" i="3" s="1"/>
  <c r="CE2" i="3" s="1"/>
  <c r="CF2" i="3" s="1"/>
  <c r="CG2" i="3" s="1"/>
  <c r="CH2" i="3" s="1"/>
  <c r="CI2" i="3" s="1"/>
  <c r="CJ2" i="3" s="1"/>
  <c r="AL2" i="3"/>
  <c r="CM21" i="1"/>
  <c r="CM20" i="1"/>
  <c r="CM19" i="1"/>
  <c r="CN19" i="1" s="1"/>
  <c r="CM18" i="1"/>
  <c r="CN18" i="1" s="1"/>
  <c r="CM17" i="1"/>
  <c r="CM16" i="1"/>
  <c r="CM15" i="1"/>
  <c r="CN15" i="1" s="1"/>
  <c r="CM14" i="1"/>
  <c r="CN14" i="1" s="1"/>
  <c r="CM13" i="1"/>
  <c r="CM12" i="1"/>
  <c r="CM11" i="1"/>
  <c r="CN11" i="1" s="1"/>
  <c r="CM10" i="1"/>
  <c r="CN10" i="1" s="1"/>
  <c r="CM9" i="1"/>
  <c r="CM8" i="1"/>
  <c r="CM7" i="1"/>
  <c r="CN7" i="1" s="1"/>
  <c r="CM6" i="1"/>
  <c r="CM5" i="1"/>
  <c r="CM4" i="1"/>
  <c r="CN4" i="1" s="1"/>
  <c r="CL22" i="1"/>
  <c r="CL21" i="1"/>
  <c r="CL20" i="1"/>
  <c r="CL19" i="1"/>
  <c r="CL18" i="1"/>
  <c r="CL17" i="1"/>
  <c r="CL16" i="1"/>
  <c r="CL15" i="1"/>
  <c r="CL14" i="1"/>
  <c r="CL13" i="1"/>
  <c r="CL12" i="1"/>
  <c r="CL11" i="1"/>
  <c r="CL10" i="1"/>
  <c r="CL9" i="1"/>
  <c r="CL8" i="1"/>
  <c r="CL7" i="1"/>
  <c r="CL6" i="1"/>
  <c r="CL5" i="1"/>
  <c r="CL4" i="1"/>
  <c r="CM3" i="1"/>
  <c r="CL3" i="1"/>
  <c r="CM1048576" i="1"/>
  <c r="CN6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CN3" i="1" l="1"/>
  <c r="CN8" i="1"/>
  <c r="CN12" i="1"/>
  <c r="CN16" i="1"/>
  <c r="CN20" i="1"/>
  <c r="CN5" i="1"/>
  <c r="CN9" i="1"/>
  <c r="CN13" i="1"/>
  <c r="CN17" i="1"/>
  <c r="CN21" i="1"/>
  <c r="CL3" i="10"/>
  <c r="CM3" i="10"/>
  <c r="CN3" i="10" s="1"/>
</calcChain>
</file>

<file path=xl/sharedStrings.xml><?xml version="1.0" encoding="utf-8"?>
<sst xmlns="http://schemas.openxmlformats.org/spreadsheetml/2006/main" count="83" uniqueCount="12">
  <si>
    <t>Hour</t>
  </si>
  <si>
    <t>Files</t>
  </si>
  <si>
    <t>MEAN</t>
  </si>
  <si>
    <t>SDEV</t>
  </si>
  <si>
    <t>STD ERROR</t>
  </si>
  <si>
    <t>HOUR</t>
  </si>
  <si>
    <t>=</t>
  </si>
  <si>
    <t>XXX</t>
  </si>
  <si>
    <t>End of Perfusion</t>
  </si>
  <si>
    <t>First Hour</t>
  </si>
  <si>
    <t>Second Hour</t>
  </si>
  <si>
    <t>Third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</si>
</sst>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worksheet" Target="worksheets/sheet5.xml"/><Relationship Id="rId18" Type="http://schemas.openxmlformats.org/officeDocument/2006/relationships/theme" Target="theme/theme1.xml"/><Relationship Id="rId3" Type="http://schemas.openxmlformats.org/officeDocument/2006/relationships/chartsheet" Target="chartsheets/sheet2.xml"/><Relationship Id="rId21" Type="http://schemas.openxmlformats.org/officeDocument/2006/relationships/calcChain" Target="calcChain.xml"/><Relationship Id="rId7" Type="http://schemas.openxmlformats.org/officeDocument/2006/relationships/chartsheet" Target="chartsheets/sheet4.xml"/><Relationship Id="rId12" Type="http://schemas.openxmlformats.org/officeDocument/2006/relationships/chartsheet" Target="chartsheets/sheet8.xml"/><Relationship Id="rId17" Type="http://schemas.openxmlformats.org/officeDocument/2006/relationships/worksheet" Target="worksheets/sheet9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8.xml"/><Relationship Id="rId20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chartsheet" Target="chartsheets/sheet7.xml"/><Relationship Id="rId5" Type="http://schemas.openxmlformats.org/officeDocument/2006/relationships/chartsheet" Target="chartsheets/sheet3.xml"/><Relationship Id="rId15" Type="http://schemas.openxmlformats.org/officeDocument/2006/relationships/worksheet" Target="worksheets/sheet7.xml"/><Relationship Id="rId10" Type="http://schemas.openxmlformats.org/officeDocument/2006/relationships/chartsheet" Target="chartsheets/sheet6.xml"/><Relationship Id="rId19" Type="http://schemas.openxmlformats.org/officeDocument/2006/relationships/styles" Target="styles.xml"/><Relationship Id="rId4" Type="http://schemas.openxmlformats.org/officeDocument/2006/relationships/worksheet" Target="worksheets/sheet2.xml"/><Relationship Id="rId9" Type="http://schemas.openxmlformats.org/officeDocument/2006/relationships/chartsheet" Target="chartsheets/sheet5.xml"/><Relationship Id="rId14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1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PortalFlow4TP!$CM$3:$CM$6</c:f>
                <c:numCache>
                  <c:formatCode>General</c:formatCode>
                  <c:ptCount val="4"/>
                  <c:pt idx="0">
                    <c:v>0.20466656254528121</c:v>
                  </c:pt>
                  <c:pt idx="1">
                    <c:v>0.20215832524909044</c:v>
                  </c:pt>
                  <c:pt idx="2">
                    <c:v>0.20618993489058177</c:v>
                  </c:pt>
                  <c:pt idx="3">
                    <c:v>0.16048239430325664</c:v>
                  </c:pt>
                </c:numCache>
              </c:numRef>
            </c:plus>
            <c:minus>
              <c:numRef>
                <c:f>PortalFlow4TP!$CM$3:$CM$6</c:f>
                <c:numCache>
                  <c:formatCode>General</c:formatCode>
                  <c:ptCount val="4"/>
                  <c:pt idx="0">
                    <c:v>0.20466656254528121</c:v>
                  </c:pt>
                  <c:pt idx="1">
                    <c:v>0.20215832524909044</c:v>
                  </c:pt>
                  <c:pt idx="2">
                    <c:v>0.20618993489058177</c:v>
                  </c:pt>
                  <c:pt idx="3">
                    <c:v>0.16048239430325664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PortalFlow4TP!$CK$3:$CK$6</c:f>
              <c:strCache>
                <c:ptCount val="4"/>
                <c:pt idx="0">
                  <c:v>First Hour</c:v>
                </c:pt>
                <c:pt idx="1">
                  <c:v>Second Hour</c:v>
                </c:pt>
                <c:pt idx="2">
                  <c:v>Third Hour</c:v>
                </c:pt>
                <c:pt idx="3">
                  <c:v>End of Perfusion</c:v>
                </c:pt>
              </c:strCache>
            </c:strRef>
          </c:cat>
          <c:val>
            <c:numRef>
              <c:f>PortalFlow4TP!$CL$3:$CL$6</c:f>
              <c:numCache>
                <c:formatCode>General</c:formatCode>
                <c:ptCount val="4"/>
                <c:pt idx="0">
                  <c:v>1.1179937697782367</c:v>
                </c:pt>
                <c:pt idx="1">
                  <c:v>1.118199119914884</c:v>
                </c:pt>
                <c:pt idx="2">
                  <c:v>1.1236382726518432</c:v>
                </c:pt>
                <c:pt idx="3">
                  <c:v>1.0079501069290435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180-4F76-A7F8-8BA0597B5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945416"/>
        <c:axId val="327939928"/>
      </c:lineChart>
      <c:catAx>
        <c:axId val="32794541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39928"/>
        <c:crosses val="autoZero"/>
        <c:auto val="1"/>
        <c:lblAlgn val="ctr"/>
        <c:lblOffset val="100"/>
        <c:noMultiLvlLbl val="0"/>
      </c:catAx>
      <c:valAx>
        <c:axId val="327939928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Portal Flow  (l/min)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45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1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Bile4TP!$CM$3:$CM$6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5.3578670345440207</c:v>
                  </c:pt>
                  <c:pt idx="2">
                    <c:v>11.160098445043181</c:v>
                  </c:pt>
                  <c:pt idx="3">
                    <c:v>11.035851462986152</c:v>
                  </c:pt>
                </c:numCache>
              </c:numRef>
            </c:plus>
            <c:minus>
              <c:numRef>
                <c:f>Bile4TP!$CM$3:$CM$6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5.3578670345440207</c:v>
                  </c:pt>
                  <c:pt idx="2">
                    <c:v>11.160098445043181</c:v>
                  </c:pt>
                  <c:pt idx="3">
                    <c:v>11.035851462986152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Bile4TP!$CK$3:$CK$6</c:f>
              <c:strCache>
                <c:ptCount val="4"/>
                <c:pt idx="0">
                  <c:v>First Hour</c:v>
                </c:pt>
                <c:pt idx="1">
                  <c:v>Second Hour</c:v>
                </c:pt>
                <c:pt idx="2">
                  <c:v>Third Hour</c:v>
                </c:pt>
                <c:pt idx="3">
                  <c:v>End of Perfusion</c:v>
                </c:pt>
              </c:strCache>
            </c:strRef>
          </c:cat>
          <c:val>
            <c:numRef>
              <c:f>Bile4TP!$CL$3:$CL$6</c:f>
              <c:numCache>
                <c:formatCode>General</c:formatCode>
                <c:ptCount val="4"/>
                <c:pt idx="0">
                  <c:v>0</c:v>
                </c:pt>
                <c:pt idx="1">
                  <c:v>3.4857706911432937</c:v>
                </c:pt>
                <c:pt idx="2">
                  <c:v>9.165259063036757</c:v>
                </c:pt>
                <c:pt idx="3">
                  <c:v>10.049925048517625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7BF-47E2-A097-A988FE73D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937968"/>
        <c:axId val="327944240"/>
      </c:lineChart>
      <c:catAx>
        <c:axId val="32793796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44240"/>
        <c:crossesAt val="-5"/>
        <c:auto val="1"/>
        <c:lblAlgn val="ctr"/>
        <c:lblOffset val="100"/>
        <c:noMultiLvlLbl val="0"/>
      </c:catAx>
      <c:valAx>
        <c:axId val="3279442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Bile Flow</a:t>
                </a:r>
                <a:r>
                  <a:rPr lang="en-GB" baseline="0"/>
                  <a:t> Rate (ml/hour)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3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1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pH4TP!$CM$3:$CM$6</c:f>
                <c:numCache>
                  <c:formatCode>General</c:formatCode>
                  <c:ptCount val="4"/>
                  <c:pt idx="0">
                    <c:v>0.17420901430290811</c:v>
                  </c:pt>
                  <c:pt idx="1">
                    <c:v>0.16473078852222009</c:v>
                  </c:pt>
                  <c:pt idx="2">
                    <c:v>0.16580693969078522</c:v>
                  </c:pt>
                  <c:pt idx="3">
                    <c:v>0.15031907886700871</c:v>
                  </c:pt>
                </c:numCache>
              </c:numRef>
            </c:plus>
            <c:minus>
              <c:numRef>
                <c:f>pH4TP!$CM$3:$CM$6</c:f>
                <c:numCache>
                  <c:formatCode>General</c:formatCode>
                  <c:ptCount val="4"/>
                  <c:pt idx="0">
                    <c:v>0.17420901430290811</c:v>
                  </c:pt>
                  <c:pt idx="1">
                    <c:v>0.16473078852222009</c:v>
                  </c:pt>
                  <c:pt idx="2">
                    <c:v>0.16580693969078522</c:v>
                  </c:pt>
                  <c:pt idx="3">
                    <c:v>0.15031907886700871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pH4TP!$CK$3:$CK$6</c:f>
              <c:strCache>
                <c:ptCount val="4"/>
                <c:pt idx="0">
                  <c:v>First Hour</c:v>
                </c:pt>
                <c:pt idx="1">
                  <c:v>Second Hour</c:v>
                </c:pt>
                <c:pt idx="2">
                  <c:v>Third Hour</c:v>
                </c:pt>
                <c:pt idx="3">
                  <c:v>End of Perfusion</c:v>
                </c:pt>
              </c:strCache>
            </c:strRef>
          </c:cat>
          <c:val>
            <c:numRef>
              <c:f>pH4TP!$CL$3:$CL$6</c:f>
              <c:numCache>
                <c:formatCode>General</c:formatCode>
                <c:ptCount val="4"/>
                <c:pt idx="0">
                  <c:v>7.1782064627764717</c:v>
                </c:pt>
                <c:pt idx="1">
                  <c:v>7.3009770181529419</c:v>
                </c:pt>
                <c:pt idx="2">
                  <c:v>7.3134124362823538</c:v>
                </c:pt>
                <c:pt idx="3">
                  <c:v>7.3465525741904738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264-4363-94FA-4DD4CC325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941888"/>
        <c:axId val="327942672"/>
      </c:lineChart>
      <c:catAx>
        <c:axId val="32794188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42672"/>
        <c:crosses val="autoZero"/>
        <c:auto val="1"/>
        <c:lblAlgn val="ctr"/>
        <c:lblOffset val="100"/>
        <c:noMultiLvlLbl val="0"/>
      </c:catAx>
      <c:valAx>
        <c:axId val="327942672"/>
        <c:scaling>
          <c:orientation val="minMax"/>
          <c:max val="8"/>
          <c:min val="6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4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1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ArterialFlow4TP!$CM$3:$CM$6</c:f>
                <c:numCache>
                  <c:formatCode>General</c:formatCode>
                  <c:ptCount val="4"/>
                  <c:pt idx="0">
                    <c:v>0.1210253414406213</c:v>
                  </c:pt>
                  <c:pt idx="1">
                    <c:v>0.12243540059881598</c:v>
                  </c:pt>
                  <c:pt idx="2">
                    <c:v>0.1280000005351514</c:v>
                  </c:pt>
                  <c:pt idx="3">
                    <c:v>0.15679882889482949</c:v>
                  </c:pt>
                </c:numCache>
              </c:numRef>
            </c:plus>
            <c:minus>
              <c:numRef>
                <c:f>ArterialFlow4TP!$CM$3:$CM$6</c:f>
                <c:numCache>
                  <c:formatCode>General</c:formatCode>
                  <c:ptCount val="4"/>
                  <c:pt idx="0">
                    <c:v>0.1210253414406213</c:v>
                  </c:pt>
                  <c:pt idx="1">
                    <c:v>0.12243540059881598</c:v>
                  </c:pt>
                  <c:pt idx="2">
                    <c:v>0.1280000005351514</c:v>
                  </c:pt>
                  <c:pt idx="3">
                    <c:v>0.15679882889482949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ArterialFlow4TP!$CK$3:$CK$6</c:f>
              <c:strCache>
                <c:ptCount val="4"/>
                <c:pt idx="0">
                  <c:v>First Hour</c:v>
                </c:pt>
                <c:pt idx="1">
                  <c:v>Second Hour</c:v>
                </c:pt>
                <c:pt idx="2">
                  <c:v>Third Hour</c:v>
                </c:pt>
                <c:pt idx="3">
                  <c:v>End of Perfusion</c:v>
                </c:pt>
              </c:strCache>
            </c:strRef>
          </c:cat>
          <c:val>
            <c:numRef>
              <c:f>ArterialFlow4TP!$CL$3:$CL$6</c:f>
              <c:numCache>
                <c:formatCode>General</c:formatCode>
                <c:ptCount val="4"/>
                <c:pt idx="0">
                  <c:v>0.29629653478646889</c:v>
                </c:pt>
                <c:pt idx="1">
                  <c:v>0.2937335092027627</c:v>
                </c:pt>
                <c:pt idx="2">
                  <c:v>0.28166526321055291</c:v>
                </c:pt>
                <c:pt idx="3">
                  <c:v>0.24828546223156628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68F-47F2-94C2-C5AAD8B45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938360"/>
        <c:axId val="327938752"/>
      </c:lineChart>
      <c:catAx>
        <c:axId val="3279383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38752"/>
        <c:crosses val="autoZero"/>
        <c:auto val="1"/>
        <c:lblAlgn val="ctr"/>
        <c:lblOffset val="100"/>
        <c:noMultiLvlLbl val="0"/>
      </c:catAx>
      <c:valAx>
        <c:axId val="327938752"/>
        <c:scaling>
          <c:orientation val="minMax"/>
          <c:max val="0.75000000000000011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Hepatic</a:t>
                </a:r>
                <a:r>
                  <a:rPr lang="en-GB" baseline="0"/>
                  <a:t> Arterial</a:t>
                </a:r>
                <a:r>
                  <a:rPr lang="en-GB"/>
                  <a:t> Flow  (l/min)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38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Bile!$CM$3:$CM$22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5.3578670345440207</c:v>
                  </c:pt>
                  <c:pt idx="2">
                    <c:v>11.160098445043181</c:v>
                  </c:pt>
                  <c:pt idx="3">
                    <c:v>9.5501513608585036</c:v>
                  </c:pt>
                  <c:pt idx="4">
                    <c:v>10.12701016945663</c:v>
                  </c:pt>
                  <c:pt idx="5">
                    <c:v>10.093760100382944</c:v>
                  </c:pt>
                  <c:pt idx="6">
                    <c:v>11.798249762601992</c:v>
                  </c:pt>
                  <c:pt idx="7">
                    <c:v>12.148098133995257</c:v>
                  </c:pt>
                  <c:pt idx="8">
                    <c:v>12.110860176536409</c:v>
                  </c:pt>
                  <c:pt idx="9">
                    <c:v>12.612335360312311</c:v>
                  </c:pt>
                  <c:pt idx="10">
                    <c:v>13.25993581070939</c:v>
                  </c:pt>
                  <c:pt idx="11">
                    <c:v>13.827572142692373</c:v>
                  </c:pt>
                  <c:pt idx="12">
                    <c:v>14.168875988861963</c:v>
                  </c:pt>
                  <c:pt idx="13">
                    <c:v>11.083210644919399</c:v>
                  </c:pt>
                  <c:pt idx="14">
                    <c:v>4.2622216704749807</c:v>
                  </c:pt>
                  <c:pt idx="15">
                    <c:v>3.7183532938051167</c:v>
                  </c:pt>
                  <c:pt idx="16">
                    <c:v>4.2001073174005441</c:v>
                  </c:pt>
                  <c:pt idx="17">
                    <c:v>4.0192314048031079</c:v>
                  </c:pt>
                  <c:pt idx="18">
                    <c:v>3.0813018625521846</c:v>
                  </c:pt>
                  <c:pt idx="19">
                    <c:v>0</c:v>
                  </c:pt>
                </c:numCache>
              </c:numRef>
            </c:plus>
            <c:minus>
              <c:numRef>
                <c:f>Bile!$CM$3:$CM$22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5.3578670345440207</c:v>
                  </c:pt>
                  <c:pt idx="2">
                    <c:v>11.160098445043181</c:v>
                  </c:pt>
                  <c:pt idx="3">
                    <c:v>9.5501513608585036</c:v>
                  </c:pt>
                  <c:pt idx="4">
                    <c:v>10.12701016945663</c:v>
                  </c:pt>
                  <c:pt idx="5">
                    <c:v>10.093760100382944</c:v>
                  </c:pt>
                  <c:pt idx="6">
                    <c:v>11.798249762601992</c:v>
                  </c:pt>
                  <c:pt idx="7">
                    <c:v>12.148098133995257</c:v>
                  </c:pt>
                  <c:pt idx="8">
                    <c:v>12.110860176536409</c:v>
                  </c:pt>
                  <c:pt idx="9">
                    <c:v>12.612335360312311</c:v>
                  </c:pt>
                  <c:pt idx="10">
                    <c:v>13.25993581070939</c:v>
                  </c:pt>
                  <c:pt idx="11">
                    <c:v>13.827572142692373</c:v>
                  </c:pt>
                  <c:pt idx="12">
                    <c:v>14.168875988861963</c:v>
                  </c:pt>
                  <c:pt idx="13">
                    <c:v>11.083210644919399</c:v>
                  </c:pt>
                  <c:pt idx="14">
                    <c:v>4.2622216704749807</c:v>
                  </c:pt>
                  <c:pt idx="15">
                    <c:v>3.7183532938051167</c:v>
                  </c:pt>
                  <c:pt idx="16">
                    <c:v>4.2001073174005441</c:v>
                  </c:pt>
                  <c:pt idx="17">
                    <c:v>4.0192314048031079</c:v>
                  </c:pt>
                  <c:pt idx="18">
                    <c:v>3.0813018625521846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Bile!$CK$3:$CK$27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Bile!$CL$3:$CL$27</c:f>
              <c:numCache>
                <c:formatCode>General</c:formatCode>
                <c:ptCount val="25"/>
                <c:pt idx="0">
                  <c:v>0</c:v>
                </c:pt>
                <c:pt idx="1">
                  <c:v>3.4857706911432937</c:v>
                </c:pt>
                <c:pt idx="2">
                  <c:v>9.165259063036757</c:v>
                </c:pt>
                <c:pt idx="3">
                  <c:v>8.4679534759999964</c:v>
                </c:pt>
                <c:pt idx="4">
                  <c:v>8.4738728353730544</c:v>
                </c:pt>
                <c:pt idx="5">
                  <c:v>8.6672147669762527</c:v>
                </c:pt>
                <c:pt idx="6">
                  <c:v>10.11551180813137</c:v>
                </c:pt>
                <c:pt idx="7">
                  <c:v>10.39953338403873</c:v>
                </c:pt>
                <c:pt idx="8">
                  <c:v>9.2322837844420835</c:v>
                </c:pt>
                <c:pt idx="9">
                  <c:v>8.3360023478435235</c:v>
                </c:pt>
                <c:pt idx="10">
                  <c:v>8.7204723659837473</c:v>
                </c:pt>
                <c:pt idx="11">
                  <c:v>10.047855215542546</c:v>
                </c:pt>
                <c:pt idx="12">
                  <c:v>11.720084041971395</c:v>
                </c:pt>
                <c:pt idx="13">
                  <c:v>8.669015856411793</c:v>
                </c:pt>
                <c:pt idx="14">
                  <c:v>5.1645741540278074</c:v>
                </c:pt>
                <c:pt idx="15">
                  <c:v>4.6939702976205027</c:v>
                </c:pt>
                <c:pt idx="16">
                  <c:v>3.9322624558854602</c:v>
                </c:pt>
                <c:pt idx="17">
                  <c:v>4.4562279663571989</c:v>
                </c:pt>
                <c:pt idx="18">
                  <c:v>7.0310118803333337</c:v>
                </c:pt>
                <c:pt idx="19">
                  <c:v>9.9685114499999994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5BB-451A-BAFE-CB2260E76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070584"/>
        <c:axId val="392067448"/>
      </c:scatterChart>
      <c:valAx>
        <c:axId val="392070584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67448"/>
        <c:crosses val="autoZero"/>
        <c:crossBetween val="midCat"/>
        <c:majorUnit val="6"/>
      </c:valAx>
      <c:valAx>
        <c:axId val="39206744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Bile Flow Rate  (ml/hour)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70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pH!$CM$3:$CM$23</c:f>
                <c:numCache>
                  <c:formatCode>General</c:formatCode>
                  <c:ptCount val="21"/>
                  <c:pt idx="0">
                    <c:v>0.17420901430290811</c:v>
                  </c:pt>
                  <c:pt idx="1">
                    <c:v>0.16473078852222009</c:v>
                  </c:pt>
                  <c:pt idx="2">
                    <c:v>0.16580693969078522</c:v>
                  </c:pt>
                  <c:pt idx="3">
                    <c:v>0.15883422600708935</c:v>
                  </c:pt>
                  <c:pt idx="4">
                    <c:v>0.13328308851610851</c:v>
                  </c:pt>
                  <c:pt idx="5">
                    <c:v>0.13231450243970655</c:v>
                  </c:pt>
                  <c:pt idx="6">
                    <c:v>0.13068619945774954</c:v>
                  </c:pt>
                  <c:pt idx="7">
                    <c:v>0.13814044184517837</c:v>
                  </c:pt>
                  <c:pt idx="8">
                    <c:v>0.15776691332486814</c:v>
                  </c:pt>
                  <c:pt idx="9">
                    <c:v>0.20171647675226168</c:v>
                  </c:pt>
                  <c:pt idx="10">
                    <c:v>0.17769344764544898</c:v>
                  </c:pt>
                  <c:pt idx="11">
                    <c:v>0.19567494571430544</c:v>
                  </c:pt>
                  <c:pt idx="12">
                    <c:v>0.2150430513955891</c:v>
                  </c:pt>
                  <c:pt idx="13">
                    <c:v>0.22417256154043641</c:v>
                  </c:pt>
                  <c:pt idx="14">
                    <c:v>0.23747644090621789</c:v>
                  </c:pt>
                  <c:pt idx="15">
                    <c:v>0.30194050938732381</c:v>
                  </c:pt>
                  <c:pt idx="16">
                    <c:v>0.32392138338976428</c:v>
                  </c:pt>
                  <c:pt idx="17">
                    <c:v>8.4260395405194408E-2</c:v>
                  </c:pt>
                  <c:pt idx="18">
                    <c:v>6.1395365074648912E-2</c:v>
                  </c:pt>
                  <c:pt idx="19">
                    <c:v>0</c:v>
                  </c:pt>
                </c:numCache>
              </c:numRef>
            </c:plus>
            <c:minus>
              <c:numRef>
                <c:f>pH!$CM$3:$CM$23</c:f>
                <c:numCache>
                  <c:formatCode>General</c:formatCode>
                  <c:ptCount val="21"/>
                  <c:pt idx="0">
                    <c:v>0.17420901430290811</c:v>
                  </c:pt>
                  <c:pt idx="1">
                    <c:v>0.16473078852222009</c:v>
                  </c:pt>
                  <c:pt idx="2">
                    <c:v>0.16580693969078522</c:v>
                  </c:pt>
                  <c:pt idx="3">
                    <c:v>0.15883422600708935</c:v>
                  </c:pt>
                  <c:pt idx="4">
                    <c:v>0.13328308851610851</c:v>
                  </c:pt>
                  <c:pt idx="5">
                    <c:v>0.13231450243970655</c:v>
                  </c:pt>
                  <c:pt idx="6">
                    <c:v>0.13068619945774954</c:v>
                  </c:pt>
                  <c:pt idx="7">
                    <c:v>0.13814044184517837</c:v>
                  </c:pt>
                  <c:pt idx="8">
                    <c:v>0.15776691332486814</c:v>
                  </c:pt>
                  <c:pt idx="9">
                    <c:v>0.20171647675226168</c:v>
                  </c:pt>
                  <c:pt idx="10">
                    <c:v>0.17769344764544898</c:v>
                  </c:pt>
                  <c:pt idx="11">
                    <c:v>0.19567494571430544</c:v>
                  </c:pt>
                  <c:pt idx="12">
                    <c:v>0.2150430513955891</c:v>
                  </c:pt>
                  <c:pt idx="13">
                    <c:v>0.22417256154043641</c:v>
                  </c:pt>
                  <c:pt idx="14">
                    <c:v>0.23747644090621789</c:v>
                  </c:pt>
                  <c:pt idx="15">
                    <c:v>0.30194050938732381</c:v>
                  </c:pt>
                  <c:pt idx="16">
                    <c:v>0.32392138338976428</c:v>
                  </c:pt>
                  <c:pt idx="17">
                    <c:v>8.4260395405194408E-2</c:v>
                  </c:pt>
                  <c:pt idx="18">
                    <c:v>6.1395365074648912E-2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pH!$CK$3:$CK$27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pH!$CL$3:$CL$27</c:f>
              <c:numCache>
                <c:formatCode>General</c:formatCode>
                <c:ptCount val="25"/>
                <c:pt idx="0">
                  <c:v>7.1782064627764717</c:v>
                </c:pt>
                <c:pt idx="1">
                  <c:v>7.3009770181529419</c:v>
                </c:pt>
                <c:pt idx="2">
                  <c:v>7.3134124362823538</c:v>
                </c:pt>
                <c:pt idx="3">
                  <c:v>7.3304276317901254</c:v>
                </c:pt>
                <c:pt idx="4">
                  <c:v>7.3404921513815786</c:v>
                </c:pt>
                <c:pt idx="5">
                  <c:v>7.347493055774649</c:v>
                </c:pt>
                <c:pt idx="6">
                  <c:v>7.3567201792903214</c:v>
                </c:pt>
                <c:pt idx="7">
                  <c:v>7.356258068057695</c:v>
                </c:pt>
                <c:pt idx="8">
                  <c:v>7.3546903591666686</c:v>
                </c:pt>
                <c:pt idx="9">
                  <c:v>7.3625984021818178</c:v>
                </c:pt>
                <c:pt idx="10">
                  <c:v>7.3168410682499996</c:v>
                </c:pt>
                <c:pt idx="11">
                  <c:v>7.3256491822500003</c:v>
                </c:pt>
                <c:pt idx="12">
                  <c:v>7.323350253000001</c:v>
                </c:pt>
                <c:pt idx="13">
                  <c:v>7.3305519046363647</c:v>
                </c:pt>
                <c:pt idx="14">
                  <c:v>7.3355650519999989</c:v>
                </c:pt>
                <c:pt idx="15">
                  <c:v>7.3290919957142862</c:v>
                </c:pt>
                <c:pt idx="16">
                  <c:v>7.3619509100000009</c:v>
                </c:pt>
                <c:pt idx="17">
                  <c:v>7.2575005223999991</c:v>
                </c:pt>
                <c:pt idx="18">
                  <c:v>7.27739221675</c:v>
                </c:pt>
                <c:pt idx="19">
                  <c:v>7.2880407060000003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101-49D9-9327-B6B173A58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069408"/>
        <c:axId val="392068624"/>
      </c:scatterChart>
      <c:valAx>
        <c:axId val="392069408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68624"/>
        <c:crosses val="autoZero"/>
        <c:crossBetween val="midCat"/>
        <c:majorUnit val="6"/>
      </c:valAx>
      <c:valAx>
        <c:axId val="392068624"/>
        <c:scaling>
          <c:orientation val="minMax"/>
          <c:max val="9"/>
          <c:min val="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6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PortalFlow!$CM$3:$CM$22</c:f>
                <c:numCache>
                  <c:formatCode>General</c:formatCode>
                  <c:ptCount val="20"/>
                  <c:pt idx="0">
                    <c:v>0.20466656254528121</c:v>
                  </c:pt>
                  <c:pt idx="1">
                    <c:v>0.20215832524909044</c:v>
                  </c:pt>
                  <c:pt idx="2">
                    <c:v>0.20618993489058177</c:v>
                  </c:pt>
                  <c:pt idx="3">
                    <c:v>0.15085415852828307</c:v>
                  </c:pt>
                  <c:pt idx="4">
                    <c:v>0.13851373310060938</c:v>
                  </c:pt>
                  <c:pt idx="5">
                    <c:v>0.14475480641770708</c:v>
                  </c:pt>
                  <c:pt idx="6">
                    <c:v>0.14684560022569454</c:v>
                  </c:pt>
                  <c:pt idx="7">
                    <c:v>0.11850715821561611</c:v>
                  </c:pt>
                  <c:pt idx="8">
                    <c:v>0.11863738207093087</c:v>
                  </c:pt>
                  <c:pt idx="9">
                    <c:v>0.14501623357300969</c:v>
                  </c:pt>
                  <c:pt idx="10">
                    <c:v>0.10735962527085649</c:v>
                  </c:pt>
                  <c:pt idx="11">
                    <c:v>0.15098901918306196</c:v>
                  </c:pt>
                  <c:pt idx="12">
                    <c:v>0.12556102119351725</c:v>
                  </c:pt>
                  <c:pt idx="13">
                    <c:v>0.15688365447977098</c:v>
                  </c:pt>
                  <c:pt idx="14">
                    <c:v>0.17830903374117843</c:v>
                  </c:pt>
                  <c:pt idx="15">
                    <c:v>0.13917481658764524</c:v>
                  </c:pt>
                  <c:pt idx="16">
                    <c:v>0.13416550275753336</c:v>
                  </c:pt>
                  <c:pt idx="17">
                    <c:v>9.1551410848920503E-2</c:v>
                  </c:pt>
                  <c:pt idx="18">
                    <c:v>9.4025641908966659E-2</c:v>
                  </c:pt>
                  <c:pt idx="19">
                    <c:v>0</c:v>
                  </c:pt>
                </c:numCache>
              </c:numRef>
            </c:plus>
            <c:minus>
              <c:numRef>
                <c:f>ArterialFlow!$CM$3:$CM$22</c:f>
                <c:numCache>
                  <c:formatCode>General</c:formatCode>
                  <c:ptCount val="20"/>
                  <c:pt idx="0">
                    <c:v>0.1210253414406213</c:v>
                  </c:pt>
                  <c:pt idx="1">
                    <c:v>0.12243540059881598</c:v>
                  </c:pt>
                  <c:pt idx="2">
                    <c:v>0.1280000005351514</c:v>
                  </c:pt>
                  <c:pt idx="3">
                    <c:v>0.12827765904027602</c:v>
                  </c:pt>
                  <c:pt idx="4">
                    <c:v>0.13372903583156795</c:v>
                  </c:pt>
                  <c:pt idx="5">
                    <c:v>0.14397639683657654</c:v>
                  </c:pt>
                  <c:pt idx="6">
                    <c:v>0.1500216157912253</c:v>
                  </c:pt>
                  <c:pt idx="7">
                    <c:v>0.15527847562716765</c:v>
                  </c:pt>
                  <c:pt idx="8">
                    <c:v>0.1573841965412619</c:v>
                  </c:pt>
                  <c:pt idx="9">
                    <c:v>0.16018664778021813</c:v>
                  </c:pt>
                  <c:pt idx="10">
                    <c:v>0.10873994123379348</c:v>
                  </c:pt>
                  <c:pt idx="11">
                    <c:v>0.11013942768531843</c:v>
                  </c:pt>
                  <c:pt idx="12">
                    <c:v>0.10565171028681611</c:v>
                  </c:pt>
                  <c:pt idx="13">
                    <c:v>0.10125104285171056</c:v>
                  </c:pt>
                  <c:pt idx="14">
                    <c:v>0.17262682256781475</c:v>
                  </c:pt>
                  <c:pt idx="15">
                    <c:v>0.23412568441980808</c:v>
                  </c:pt>
                  <c:pt idx="16">
                    <c:v>0.22531016328244144</c:v>
                  </c:pt>
                  <c:pt idx="17">
                    <c:v>8.5253160395544481E-2</c:v>
                  </c:pt>
                  <c:pt idx="18">
                    <c:v>8.2780463149943542E-2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PortalFlow!$CK$3:$CK$27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PortalFlow!$CL$3:$CL$27</c:f>
              <c:numCache>
                <c:formatCode>General</c:formatCode>
                <c:ptCount val="25"/>
                <c:pt idx="0">
                  <c:v>1.1179937697782367</c:v>
                </c:pt>
                <c:pt idx="1">
                  <c:v>1.118199119914884</c:v>
                </c:pt>
                <c:pt idx="2">
                  <c:v>1.1236382726518432</c:v>
                </c:pt>
                <c:pt idx="3">
                  <c:v>1.0960291958414603</c:v>
                </c:pt>
                <c:pt idx="4">
                  <c:v>1.1013799330675673</c:v>
                </c:pt>
                <c:pt idx="5">
                  <c:v>1.0803764073</c:v>
                </c:pt>
                <c:pt idx="6">
                  <c:v>1.0634045247627115</c:v>
                </c:pt>
                <c:pt idx="7">
                  <c:v>1.0230020027199997</c:v>
                </c:pt>
                <c:pt idx="8">
                  <c:v>1.0229001741282049</c:v>
                </c:pt>
                <c:pt idx="9">
                  <c:v>0.98476680558064522</c:v>
                </c:pt>
                <c:pt idx="10">
                  <c:v>1.0241278073000002</c:v>
                </c:pt>
                <c:pt idx="11">
                  <c:v>1.0250123714666666</c:v>
                </c:pt>
                <c:pt idx="12">
                  <c:v>1.0630232741666668</c:v>
                </c:pt>
                <c:pt idx="13">
                  <c:v>1.0580278611</c:v>
                </c:pt>
                <c:pt idx="14">
                  <c:v>0.98943637487500014</c:v>
                </c:pt>
                <c:pt idx="15">
                  <c:v>1.0297735589999999</c:v>
                </c:pt>
                <c:pt idx="16">
                  <c:v>1.0525118045000001</c:v>
                </c:pt>
                <c:pt idx="17">
                  <c:v>0.98799212680000004</c:v>
                </c:pt>
                <c:pt idx="18">
                  <c:v>0.9871663100000001</c:v>
                </c:pt>
                <c:pt idx="19">
                  <c:v>1.1054866649999999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183-42C6-8962-6DD1A32D6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067056"/>
        <c:axId val="392069800"/>
      </c:scatterChart>
      <c:valAx>
        <c:axId val="392067056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69800"/>
        <c:crosses val="autoZero"/>
        <c:crossBetween val="midCat"/>
        <c:majorUnit val="6"/>
      </c:valAx>
      <c:valAx>
        <c:axId val="3920698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Portal Flow Rate (l/min)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6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ArterialFlow!$CM$3:$CM$22</c:f>
                <c:numCache>
                  <c:formatCode>General</c:formatCode>
                  <c:ptCount val="20"/>
                  <c:pt idx="0">
                    <c:v>0.1210253414406213</c:v>
                  </c:pt>
                  <c:pt idx="1">
                    <c:v>0.12243540059881598</c:v>
                  </c:pt>
                  <c:pt idx="2">
                    <c:v>0.1280000005351514</c:v>
                  </c:pt>
                  <c:pt idx="3">
                    <c:v>0.12827765904027602</c:v>
                  </c:pt>
                  <c:pt idx="4">
                    <c:v>0.13372903583156795</c:v>
                  </c:pt>
                  <c:pt idx="5">
                    <c:v>0.14397639683657654</c:v>
                  </c:pt>
                  <c:pt idx="6">
                    <c:v>0.1500216157912253</c:v>
                  </c:pt>
                  <c:pt idx="7">
                    <c:v>0.15527847562716765</c:v>
                  </c:pt>
                  <c:pt idx="8">
                    <c:v>0.1573841965412619</c:v>
                  </c:pt>
                  <c:pt idx="9">
                    <c:v>0.16018664778021813</c:v>
                  </c:pt>
                  <c:pt idx="10">
                    <c:v>0.10873994123379348</c:v>
                  </c:pt>
                  <c:pt idx="11">
                    <c:v>0.11013942768531843</c:v>
                  </c:pt>
                  <c:pt idx="12">
                    <c:v>0.10565171028681611</c:v>
                  </c:pt>
                  <c:pt idx="13">
                    <c:v>0.10125104285171056</c:v>
                  </c:pt>
                  <c:pt idx="14">
                    <c:v>0.17262682256781475</c:v>
                  </c:pt>
                  <c:pt idx="15">
                    <c:v>0.23412568441980808</c:v>
                  </c:pt>
                  <c:pt idx="16">
                    <c:v>0.22531016328244144</c:v>
                  </c:pt>
                  <c:pt idx="17">
                    <c:v>8.5253160395544481E-2</c:v>
                  </c:pt>
                  <c:pt idx="18">
                    <c:v>8.2780463149943542E-2</c:v>
                  </c:pt>
                  <c:pt idx="19">
                    <c:v>0</c:v>
                  </c:pt>
                </c:numCache>
              </c:numRef>
            </c:plus>
            <c:minus>
              <c:numRef>
                <c:f>ArterialFlow!$CM$3:$CM$22</c:f>
                <c:numCache>
                  <c:formatCode>General</c:formatCode>
                  <c:ptCount val="20"/>
                  <c:pt idx="0">
                    <c:v>0.1210253414406213</c:v>
                  </c:pt>
                  <c:pt idx="1">
                    <c:v>0.12243540059881598</c:v>
                  </c:pt>
                  <c:pt idx="2">
                    <c:v>0.1280000005351514</c:v>
                  </c:pt>
                  <c:pt idx="3">
                    <c:v>0.12827765904027602</c:v>
                  </c:pt>
                  <c:pt idx="4">
                    <c:v>0.13372903583156795</c:v>
                  </c:pt>
                  <c:pt idx="5">
                    <c:v>0.14397639683657654</c:v>
                  </c:pt>
                  <c:pt idx="6">
                    <c:v>0.1500216157912253</c:v>
                  </c:pt>
                  <c:pt idx="7">
                    <c:v>0.15527847562716765</c:v>
                  </c:pt>
                  <c:pt idx="8">
                    <c:v>0.1573841965412619</c:v>
                  </c:pt>
                  <c:pt idx="9">
                    <c:v>0.16018664778021813</c:v>
                  </c:pt>
                  <c:pt idx="10">
                    <c:v>0.10873994123379348</c:v>
                  </c:pt>
                  <c:pt idx="11">
                    <c:v>0.11013942768531843</c:v>
                  </c:pt>
                  <c:pt idx="12">
                    <c:v>0.10565171028681611</c:v>
                  </c:pt>
                  <c:pt idx="13">
                    <c:v>0.10125104285171056</c:v>
                  </c:pt>
                  <c:pt idx="14">
                    <c:v>0.17262682256781475</c:v>
                  </c:pt>
                  <c:pt idx="15">
                    <c:v>0.23412568441980808</c:v>
                  </c:pt>
                  <c:pt idx="16">
                    <c:v>0.22531016328244144</c:v>
                  </c:pt>
                  <c:pt idx="17">
                    <c:v>8.5253160395544481E-2</c:v>
                  </c:pt>
                  <c:pt idx="18">
                    <c:v>8.2780463149943542E-2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ArterialFlow!$CK$3:$CK$27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ArterialFlow!$CL$3:$CL$27</c:f>
              <c:numCache>
                <c:formatCode>General</c:formatCode>
                <c:ptCount val="25"/>
                <c:pt idx="0">
                  <c:v>0.29629653478646889</c:v>
                </c:pt>
                <c:pt idx="1">
                  <c:v>0.2937335092027627</c:v>
                </c:pt>
                <c:pt idx="2">
                  <c:v>0.28166526321055291</c:v>
                </c:pt>
                <c:pt idx="3">
                  <c:v>0.27821229850226092</c:v>
                </c:pt>
                <c:pt idx="4">
                  <c:v>0.27924391603947368</c:v>
                </c:pt>
                <c:pt idx="5">
                  <c:v>0.27493374240000013</c:v>
                </c:pt>
                <c:pt idx="6">
                  <c:v>0.2607032561967213</c:v>
                </c:pt>
                <c:pt idx="7">
                  <c:v>0.25321115875000005</c:v>
                </c:pt>
                <c:pt idx="8">
                  <c:v>0.23556188609756096</c:v>
                </c:pt>
                <c:pt idx="9">
                  <c:v>0.25048164265624995</c:v>
                </c:pt>
                <c:pt idx="10">
                  <c:v>0.24441828390476189</c:v>
                </c:pt>
                <c:pt idx="11">
                  <c:v>0.2460326732666667</c:v>
                </c:pt>
                <c:pt idx="12">
                  <c:v>0.21560729107692303</c:v>
                </c:pt>
                <c:pt idx="13">
                  <c:v>0.21021800045454545</c:v>
                </c:pt>
                <c:pt idx="14">
                  <c:v>0.27415472766666671</c:v>
                </c:pt>
                <c:pt idx="15">
                  <c:v>0.38686581566666667</c:v>
                </c:pt>
                <c:pt idx="16">
                  <c:v>0.39110258199999998</c:v>
                </c:pt>
                <c:pt idx="17">
                  <c:v>0.28804752440000003</c:v>
                </c:pt>
                <c:pt idx="18">
                  <c:v>0.27848203700000002</c:v>
                </c:pt>
                <c:pt idx="19">
                  <c:v>0.32894720399999999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ED-497C-8750-814AFD473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070976"/>
        <c:axId val="392063528"/>
      </c:scatterChart>
      <c:valAx>
        <c:axId val="392070976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63528"/>
        <c:crosses val="autoZero"/>
        <c:crossBetween val="midCat"/>
        <c:majorUnit val="6"/>
      </c:valAx>
      <c:valAx>
        <c:axId val="3920635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Hepatic</a:t>
                </a:r>
                <a:r>
                  <a:rPr lang="en-GB" baseline="0"/>
                  <a:t> Arterial</a:t>
                </a:r>
                <a:r>
                  <a:rPr lang="en-GB"/>
                  <a:t> Flow Rate  (l/min)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7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1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1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1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8371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815" cy="606777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815" cy="606777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815" cy="606777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815" cy="606777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9815" cy="606777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9815" cy="606777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9815" cy="606777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48576"/>
  <sheetViews>
    <sheetView topLeftCell="CG1" workbookViewId="0">
      <selection activeCell="CK2" sqref="CK2:CN6"/>
    </sheetView>
  </sheetViews>
  <sheetFormatPr defaultRowHeight="15" x14ac:dyDescent="0.25"/>
  <sheetData>
    <row r="1" spans="1:97" x14ac:dyDescent="0.25">
      <c r="B1" t="s">
        <v>1</v>
      </c>
    </row>
    <row r="2" spans="1:97" x14ac:dyDescent="0.25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f t="shared" ref="AL2:CJ2" si="0">AK2+1</f>
        <v>37</v>
      </c>
      <c r="AM2">
        <f t="shared" si="0"/>
        <v>38</v>
      </c>
      <c r="AN2">
        <f t="shared" si="0"/>
        <v>39</v>
      </c>
      <c r="AO2">
        <f t="shared" si="0"/>
        <v>40</v>
      </c>
      <c r="AP2">
        <f t="shared" si="0"/>
        <v>41</v>
      </c>
      <c r="AQ2">
        <f t="shared" si="0"/>
        <v>42</v>
      </c>
      <c r="AR2">
        <f t="shared" si="0"/>
        <v>43</v>
      </c>
      <c r="AS2">
        <f t="shared" si="0"/>
        <v>44</v>
      </c>
      <c r="AT2">
        <f t="shared" si="0"/>
        <v>45</v>
      </c>
      <c r="AU2">
        <f t="shared" si="0"/>
        <v>46</v>
      </c>
      <c r="AV2">
        <f t="shared" si="0"/>
        <v>47</v>
      </c>
      <c r="AW2">
        <f t="shared" si="0"/>
        <v>48</v>
      </c>
      <c r="AX2">
        <f t="shared" si="0"/>
        <v>49</v>
      </c>
      <c r="AY2">
        <f t="shared" si="0"/>
        <v>50</v>
      </c>
      <c r="AZ2">
        <f t="shared" si="0"/>
        <v>51</v>
      </c>
      <c r="BA2">
        <f t="shared" si="0"/>
        <v>52</v>
      </c>
      <c r="BB2">
        <f t="shared" si="0"/>
        <v>53</v>
      </c>
      <c r="BC2">
        <f t="shared" si="0"/>
        <v>54</v>
      </c>
      <c r="BD2">
        <f t="shared" si="0"/>
        <v>55</v>
      </c>
      <c r="BE2">
        <f t="shared" si="0"/>
        <v>56</v>
      </c>
      <c r="BF2">
        <f t="shared" si="0"/>
        <v>57</v>
      </c>
      <c r="BG2">
        <f t="shared" si="0"/>
        <v>58</v>
      </c>
      <c r="BH2">
        <f t="shared" si="0"/>
        <v>59</v>
      </c>
      <c r="BI2">
        <f t="shared" si="0"/>
        <v>60</v>
      </c>
      <c r="BJ2">
        <f t="shared" si="0"/>
        <v>61</v>
      </c>
      <c r="BK2">
        <f t="shared" si="0"/>
        <v>62</v>
      </c>
      <c r="BL2">
        <f t="shared" si="0"/>
        <v>63</v>
      </c>
      <c r="BM2">
        <f t="shared" si="0"/>
        <v>64</v>
      </c>
      <c r="BN2">
        <f t="shared" si="0"/>
        <v>65</v>
      </c>
      <c r="BO2">
        <f t="shared" si="0"/>
        <v>66</v>
      </c>
      <c r="BP2">
        <f t="shared" si="0"/>
        <v>67</v>
      </c>
      <c r="BQ2">
        <f t="shared" si="0"/>
        <v>68</v>
      </c>
      <c r="BR2">
        <f t="shared" si="0"/>
        <v>69</v>
      </c>
      <c r="BS2">
        <f t="shared" si="0"/>
        <v>70</v>
      </c>
      <c r="BT2">
        <f t="shared" si="0"/>
        <v>71</v>
      </c>
      <c r="BU2">
        <f t="shared" si="0"/>
        <v>72</v>
      </c>
      <c r="BV2">
        <f t="shared" si="0"/>
        <v>73</v>
      </c>
      <c r="BW2">
        <f t="shared" si="0"/>
        <v>74</v>
      </c>
      <c r="BX2">
        <f t="shared" si="0"/>
        <v>75</v>
      </c>
      <c r="BY2">
        <f t="shared" si="0"/>
        <v>76</v>
      </c>
      <c r="BZ2">
        <f t="shared" si="0"/>
        <v>77</v>
      </c>
      <c r="CA2">
        <f t="shared" si="0"/>
        <v>78</v>
      </c>
      <c r="CB2">
        <f t="shared" si="0"/>
        <v>79</v>
      </c>
      <c r="CC2">
        <f t="shared" si="0"/>
        <v>80</v>
      </c>
      <c r="CD2">
        <f t="shared" si="0"/>
        <v>81</v>
      </c>
      <c r="CE2">
        <f t="shared" si="0"/>
        <v>82</v>
      </c>
      <c r="CF2">
        <f t="shared" si="0"/>
        <v>83</v>
      </c>
      <c r="CG2">
        <f t="shared" si="0"/>
        <v>84</v>
      </c>
      <c r="CH2">
        <f t="shared" si="0"/>
        <v>85</v>
      </c>
      <c r="CI2">
        <f t="shared" si="0"/>
        <v>86</v>
      </c>
      <c r="CJ2">
        <f t="shared" si="0"/>
        <v>87</v>
      </c>
      <c r="CK2" s="1" t="s">
        <v>5</v>
      </c>
      <c r="CL2" s="1" t="s">
        <v>2</v>
      </c>
      <c r="CM2" s="1" t="s">
        <v>3</v>
      </c>
      <c r="CN2" s="1" t="s">
        <v>4</v>
      </c>
    </row>
    <row r="3" spans="1:97" x14ac:dyDescent="0.25">
      <c r="A3">
        <v>0</v>
      </c>
      <c r="B3">
        <f>IVCFlow!B3-ArterialFlow!B3</f>
        <v>1.0602113011501428</v>
      </c>
      <c r="C3">
        <f>IVCFlow!C3-ArterialFlow!C3</f>
        <v>0.86667411900000002</v>
      </c>
      <c r="D3">
        <f>IVCFlow!D3-ArterialFlow!D3</f>
        <v>0.84129999900000008</v>
      </c>
      <c r="E3">
        <f>IVCFlow!E3-ArterialFlow!E3</f>
        <v>1.0221745449999999</v>
      </c>
      <c r="F3">
        <f>IVCFlow!F3-ArterialFlow!F3</f>
        <v>1.0137753760000001</v>
      </c>
      <c r="G3">
        <f>IVCFlow!G3-ArterialFlow!G3</f>
        <v>1.0137753760000001</v>
      </c>
      <c r="H3">
        <f>IVCFlow!H3-ArterialFlow!H3</f>
        <v>1.3278772230000002</v>
      </c>
      <c r="I3">
        <f>IVCFlow!I3-ArterialFlow!I3</f>
        <v>1.0708310109999999</v>
      </c>
      <c r="J3">
        <f>IVCFlow!J3-ArterialFlow!J3</f>
        <v>1.1900350280000001</v>
      </c>
      <c r="K3">
        <f>IVCFlow!K3-ArterialFlow!K3</f>
        <v>0.97181919000000005</v>
      </c>
      <c r="L3">
        <f>IVCFlow!L3-ArterialFlow!L3</f>
        <v>1.0019343300000001</v>
      </c>
      <c r="M3">
        <f>IVCFlow!M3-ArterialFlow!M3</f>
        <v>0.92414559200000013</v>
      </c>
      <c r="N3">
        <f>IVCFlow!N3-ArterialFlow!N3</f>
        <v>0.86502122999999997</v>
      </c>
      <c r="O3">
        <f>IVCFlow!O3-ArterialFlow!O3</f>
        <v>1.033231539</v>
      </c>
      <c r="P3">
        <f>IVCFlow!P3-ArterialFlow!P3</f>
        <v>0.97379204799999997</v>
      </c>
      <c r="Q3">
        <f>IVCFlow!Q3-ArterialFlow!Q3</f>
        <v>1.2700241729999999</v>
      </c>
      <c r="R3">
        <f>IVCFlow!R3-ArterialFlow!R3</f>
        <v>0.88859049100000009</v>
      </c>
      <c r="S3">
        <f>IVCFlow!S3-ArterialFlow!S3</f>
        <v>1.0668795389999999</v>
      </c>
      <c r="T3">
        <f>IVCFlow!T3-ArterialFlow!T3</f>
        <v>1.072391965</v>
      </c>
      <c r="U3">
        <f>IVCFlow!U3-ArterialFlow!U3</f>
        <v>1.0302584050000001</v>
      </c>
      <c r="V3">
        <f>IVCFlow!V3-ArterialFlow!V3</f>
        <v>1.07183611</v>
      </c>
      <c r="W3">
        <f>IVCFlow!W3-ArterialFlow!W3</f>
        <v>1.1855973319999999</v>
      </c>
      <c r="X3">
        <f>IVCFlow!X3-ArterialFlow!X3</f>
        <v>1.2769982980000001</v>
      </c>
      <c r="Y3">
        <f>IVCFlow!Y3-ArterialFlow!Y3</f>
        <v>0.96401780300000006</v>
      </c>
      <c r="Z3">
        <f>IVCFlow!Z3-ArterialFlow!Z3</f>
        <v>1.0454479590000001</v>
      </c>
      <c r="AB3">
        <f>IVCFlow!AB3-ArterialFlow!AB3</f>
        <v>1.2756273679999999</v>
      </c>
      <c r="AC3">
        <f>IVCFlow!AC3-ArterialFlow!AC3</f>
        <v>1.1275933170000001</v>
      </c>
      <c r="AD3">
        <f>IVCFlow!AD3-ArterialFlow!AD3</f>
        <v>1.059521629</v>
      </c>
      <c r="AE3">
        <f>IVCFlow!AE3-ArterialFlow!AE3</f>
        <v>1.123043351</v>
      </c>
      <c r="AF3">
        <f>IVCFlow!AF3-ArterialFlow!AF3</f>
        <v>1.1509505170000001</v>
      </c>
      <c r="AG3">
        <f>IVCFlow!AG3-ArterialFlow!AG3</f>
        <v>1.1249541509999998</v>
      </c>
      <c r="AH3">
        <f>IVCFlow!AH3-ArterialFlow!AH3</f>
        <v>1.3101891390000002</v>
      </c>
      <c r="AI3">
        <f>IVCFlow!AI3-ArterialFlow!AI3</f>
        <v>1.2260685060000001</v>
      </c>
      <c r="AJ3">
        <f>IVCFlow!AJ3-ArterialFlow!AJ3</f>
        <v>1.1545467030000001</v>
      </c>
      <c r="AK3">
        <f>IVCFlow!AK3-ArterialFlow!AK3</f>
        <v>1.0217556999999999</v>
      </c>
      <c r="AL3">
        <f>IVCFlow!AL3-ArterialFlow!AL3</f>
        <v>1.19793565</v>
      </c>
      <c r="AM3">
        <f>IVCFlow!AM3-ArterialFlow!AM3</f>
        <v>1.0076694549999998</v>
      </c>
      <c r="AN3">
        <f>IVCFlow!AN3-ArterialFlow!AN3</f>
        <v>0.77018980900000011</v>
      </c>
      <c r="AO3">
        <f>IVCFlow!AO3-ArterialFlow!AO3</f>
        <v>0.96030107100000006</v>
      </c>
      <c r="AP3">
        <f>IVCFlow!AP3-ArterialFlow!AP3</f>
        <v>1.0555333290000002</v>
      </c>
      <c r="AQ3">
        <f>IVCFlow!AQ3-ArterialFlow!AQ3</f>
        <v>1.0464305509999998</v>
      </c>
      <c r="AR3">
        <f>IVCFlow!AR3-ArterialFlow!AR3</f>
        <v>1.0015472270000001</v>
      </c>
      <c r="AS3">
        <f>IVCFlow!AS3-ArterialFlow!AS3</f>
        <v>0.95037777800000001</v>
      </c>
      <c r="AT3">
        <f>IVCFlow!AT3-ArterialFlow!AT3</f>
        <v>1.280123948</v>
      </c>
      <c r="AU3">
        <f>IVCFlow!AU3-ArterialFlow!AU3</f>
        <v>1.182252791</v>
      </c>
      <c r="AV3">
        <f>IVCFlow!AV3-ArterialFlow!AV3</f>
        <v>1.038136113</v>
      </c>
      <c r="AW3">
        <f>IVCFlow!AW3-ArterialFlow!AW3</f>
        <v>1.3181083039999999</v>
      </c>
      <c r="AY3">
        <f>IVCFlow!AY3-ArterialFlow!AY3</f>
        <v>1.257613884</v>
      </c>
      <c r="AZ3">
        <f>IVCFlow!AZ3-ArterialFlow!AZ3</f>
        <v>1.2011972279999998</v>
      </c>
      <c r="BA3">
        <f>IVCFlow!BA3-ArterialFlow!BA3</f>
        <v>1.029005559</v>
      </c>
      <c r="BB3">
        <f>IVCFlow!BB3-ArterialFlow!BB3</f>
        <v>0.95148531300000005</v>
      </c>
      <c r="BC3">
        <f>IVCFlow!BC3-ArterialFlow!BC3</f>
        <v>1.185249295</v>
      </c>
      <c r="BD3">
        <f>IVCFlow!BD3-ArterialFlow!BD3</f>
        <v>0.847495518</v>
      </c>
      <c r="BE3">
        <f>IVCFlow!BE3-ArterialFlow!BE3</f>
        <v>1.0622367780000002</v>
      </c>
      <c r="BF3">
        <f>IVCFlow!BF3-ArterialFlow!BF3</f>
        <v>1.0390345049999998</v>
      </c>
      <c r="BG3">
        <f>IVCFlow!BG3-ArterialFlow!BG3</f>
        <v>2.357663847</v>
      </c>
      <c r="BH3">
        <f>IVCFlow!BH3-ArterialFlow!BH3</f>
        <v>1.2075339839999999</v>
      </c>
      <c r="BI3">
        <f>IVCFlow!BI3-ArterialFlow!BI3</f>
        <v>1.6500000360000002</v>
      </c>
      <c r="BJ3">
        <f>IVCFlow!BJ3-ArterialFlow!BJ3</f>
        <v>1.2698360590000002</v>
      </c>
      <c r="BK3">
        <f>IVCFlow!BK3-ArterialFlow!BK3</f>
        <v>1.1530888859999999</v>
      </c>
      <c r="BL3">
        <f>IVCFlow!BL3-ArterialFlow!BL3</f>
        <v>1.0217611229999999</v>
      </c>
      <c r="BM3">
        <f>IVCFlow!BM3-ArterialFlow!BM3</f>
        <v>0.95037777800000001</v>
      </c>
      <c r="BN3">
        <f>IVCFlow!BN3-ArterialFlow!BN3</f>
        <v>1.117841667</v>
      </c>
      <c r="BO3">
        <f>IVCFlow!BO3-ArterialFlow!BO3</f>
        <v>1.018794446</v>
      </c>
      <c r="BP3">
        <f>IVCFlow!BP3-ArterialFlow!BP3</f>
        <v>1.123449994</v>
      </c>
      <c r="BQ3">
        <f>IVCFlow!BQ3-ArterialFlow!BQ3</f>
        <v>1.1509666549999999</v>
      </c>
      <c r="BR3">
        <f>IVCFlow!BR3-ArterialFlow!BR3</f>
        <v>1.3110110990000001</v>
      </c>
      <c r="BS3">
        <f>IVCFlow!BS3-ArterialFlow!BS3</f>
        <v>1.1249555519999999</v>
      </c>
      <c r="BT3">
        <f>IVCFlow!BT3-ArterialFlow!BT3</f>
        <v>1.2267898449999999</v>
      </c>
      <c r="BU3">
        <f>IVCFlow!BU3-ArterialFlow!BU3</f>
        <v>1.2918165899999998</v>
      </c>
      <c r="BV3">
        <f>IVCFlow!BV3-ArterialFlow!BV3</f>
        <v>1.1551916520000001</v>
      </c>
      <c r="BW3">
        <f>IVCFlow!BW3-ArterialFlow!BW3</f>
        <v>0.9729555700000001</v>
      </c>
      <c r="BX3">
        <f>IVCFlow!BX3-ArterialFlow!BX3</f>
        <v>1.0217583299999999</v>
      </c>
      <c r="BY3">
        <f>IVCFlow!BY3-ArterialFlow!BY3</f>
        <v>1.2283163400000001</v>
      </c>
      <c r="BZ3">
        <v>1.6966282130000001</v>
      </c>
      <c r="CA3">
        <f>IVCFlow!CA3-ArterialFlow!CA3</f>
        <v>0.97915809900000006</v>
      </c>
      <c r="CB3">
        <f>IVCFlow!CB3-ArterialFlow!CB3</f>
        <v>1.0363646520000001</v>
      </c>
      <c r="CC3">
        <f>IVCFlow!CC3-ArterialFlow!CC3</f>
        <v>0.96004211199999989</v>
      </c>
      <c r="CD3">
        <f>IVCFlow!CD3-ArterialFlow!CD3</f>
        <v>1.112812688</v>
      </c>
      <c r="CE3">
        <f>IVCFlow!CE3-ArterialFlow!CE3</f>
        <v>1.139551784</v>
      </c>
      <c r="CF3">
        <f>IVCFlow!CF3-ArterialFlow!CF3</f>
        <v>1.0754075059999999</v>
      </c>
      <c r="CG3">
        <f>IVCFlow!CG3-ArterialFlow!CG3</f>
        <v>1.182329086</v>
      </c>
      <c r="CH3">
        <f>IVCFlow!CH3-ArterialFlow!CH3</f>
        <v>1.257629892</v>
      </c>
      <c r="CI3">
        <f>IVCFlow!CI3-ArterialFlow!CI3</f>
        <v>1.200981106</v>
      </c>
      <c r="CJ3">
        <f>IVCFlow!CJ3-ArterialFlow!CJ3</f>
        <v>1.0296413709999999</v>
      </c>
      <c r="CK3" s="1" t="s">
        <v>9</v>
      </c>
      <c r="CL3" s="1">
        <f>AVERAGE(B3:CJ3)</f>
        <v>1.1179937697782367</v>
      </c>
      <c r="CM3" s="1">
        <f t="shared" ref="CM3:CM5" si="1">STDEV(B3:CJ3)</f>
        <v>0.20466656254528121</v>
      </c>
      <c r="CN3" s="1">
        <f t="shared" ref="CN3:CN6" si="2">CM3/SQRT(COUNT(B3:CJ3))</f>
        <v>2.2199205556559239E-2</v>
      </c>
    </row>
    <row r="4" spans="1:97" x14ac:dyDescent="0.25">
      <c r="A4">
        <v>1</v>
      </c>
      <c r="B4">
        <f>IVCFlow!B4-ArterialFlow!B4</f>
        <v>1.0610643407651619</v>
      </c>
      <c r="C4">
        <f>IVCFlow!C4-ArterialFlow!C4</f>
        <v>0.90525820300000004</v>
      </c>
      <c r="D4">
        <f>IVCFlow!D4-ArterialFlow!D4</f>
        <v>1.0076972389999999</v>
      </c>
      <c r="E4">
        <f>IVCFlow!E4-ArterialFlow!E4</f>
        <v>1.1695722499999999</v>
      </c>
      <c r="F4">
        <f>IVCFlow!F4-ArterialFlow!F4</f>
        <v>1.0022345029999999</v>
      </c>
      <c r="G4">
        <f>IVCFlow!G4-ArterialFlow!G4</f>
        <v>1.0022345029999999</v>
      </c>
      <c r="H4">
        <f>IVCFlow!H4-ArterialFlow!H4</f>
        <v>1.1563434239999999</v>
      </c>
      <c r="I4">
        <f>IVCFlow!I4-ArterialFlow!I4</f>
        <v>1.0467794220000002</v>
      </c>
      <c r="J4">
        <f>IVCFlow!J4-ArterialFlow!J4</f>
        <v>1.003211117</v>
      </c>
      <c r="K4">
        <f>IVCFlow!K4-ArterialFlow!K4</f>
        <v>0.90256111000000006</v>
      </c>
      <c r="L4">
        <f>IVCFlow!L4-ArterialFlow!L4</f>
        <v>0.99279399299999982</v>
      </c>
      <c r="M4">
        <f>IVCFlow!M4-ArterialFlow!M4</f>
        <v>0.95844636100000002</v>
      </c>
      <c r="N4">
        <f>IVCFlow!N4-ArterialFlow!N4</f>
        <v>0.89416898000000011</v>
      </c>
      <c r="O4">
        <f>IVCFlow!O4-ArterialFlow!O4</f>
        <v>1.1844385660000001</v>
      </c>
      <c r="P4">
        <f>IVCFlow!P4-ArterialFlow!P4</f>
        <v>1.01387546</v>
      </c>
      <c r="Q4">
        <f>IVCFlow!Q4-ArterialFlow!Q4</f>
        <v>0.79606635100000012</v>
      </c>
      <c r="R4">
        <f>IVCFlow!R4-ArterialFlow!R4</f>
        <v>0.84476097800000005</v>
      </c>
      <c r="S4">
        <f>IVCFlow!S4-ArterialFlow!S4</f>
        <v>1.166506117</v>
      </c>
      <c r="T4">
        <f>IVCFlow!T4-ArterialFlow!T4</f>
        <v>1.0414785070000001</v>
      </c>
      <c r="U4">
        <f>IVCFlow!U4-ArterialFlow!U4</f>
        <v>1.1153861140000001</v>
      </c>
      <c r="V4">
        <f>IVCFlow!V4-ArterialFlow!V4</f>
        <v>1.0126750009999999</v>
      </c>
      <c r="W4">
        <f>IVCFlow!W4-ArterialFlow!W4</f>
        <v>1.20119676</v>
      </c>
      <c r="X4">
        <f>IVCFlow!X4-ArterialFlow!X4</f>
        <v>1.1545644389999998</v>
      </c>
      <c r="Y4">
        <f>IVCFlow!Y4-ArterialFlow!Y4</f>
        <v>0.9949137480000001</v>
      </c>
      <c r="Z4">
        <f>IVCFlow!Z4-ArterialFlow!Z4</f>
        <v>1.0792378999999999</v>
      </c>
      <c r="AB4">
        <f>IVCFlow!AB4-ArterialFlow!AB4</f>
        <v>1.2904322340000001</v>
      </c>
      <c r="AC4">
        <f>IVCFlow!AC4-ArterialFlow!AC4</f>
        <v>1.1100418849999998</v>
      </c>
      <c r="AD4">
        <f>IVCFlow!AD4-ArterialFlow!AD4</f>
        <v>1.0785295220000002</v>
      </c>
      <c r="AE4">
        <f>IVCFlow!AE4-ArterialFlow!AE4</f>
        <v>1.1311694480000001</v>
      </c>
      <c r="AF4">
        <f>IVCFlow!AF4-ArterialFlow!AF4</f>
        <v>0.63652173599999995</v>
      </c>
      <c r="AG4">
        <f>IVCFlow!AG4-ArterialFlow!AG4</f>
        <v>1.135009734</v>
      </c>
      <c r="AH4">
        <f>IVCFlow!AH4-ArterialFlow!AH4</f>
        <v>1.2725750819999999</v>
      </c>
      <c r="AI4">
        <f>IVCFlow!AI4-ArterialFlow!AI4</f>
        <v>1.2517527800000001</v>
      </c>
      <c r="AJ4">
        <f>IVCFlow!AJ4-ArterialFlow!AJ4</f>
        <v>1.1827093179999999</v>
      </c>
      <c r="AK4">
        <f>IVCFlow!AK4-ArterialFlow!AK4</f>
        <v>0.99857022100000004</v>
      </c>
      <c r="AL4">
        <f>IVCFlow!AL4-ArterialFlow!AL4</f>
        <v>1.1871846150000001</v>
      </c>
      <c r="AM4">
        <f>IVCFlow!AM4-ArterialFlow!AM4</f>
        <v>0.95766667500000002</v>
      </c>
      <c r="AN4">
        <f>IVCFlow!AN4-ArterialFlow!AN4</f>
        <v>1.0626188510000001</v>
      </c>
      <c r="AO4">
        <f>IVCFlow!AO4-ArterialFlow!AO4</f>
        <v>1.0267752780000001</v>
      </c>
      <c r="AP4">
        <f>IVCFlow!AP4-ArterialFlow!AP4</f>
        <v>1.0531138869999999</v>
      </c>
      <c r="AQ4">
        <f>IVCFlow!AQ4-ArterialFlow!AQ4</f>
        <v>1.1253999889999999</v>
      </c>
      <c r="AR4">
        <f>IVCFlow!AR4-ArterialFlow!AR4</f>
        <v>1.083836947</v>
      </c>
      <c r="AS4">
        <f>IVCFlow!AS4-ArterialFlow!AS4</f>
        <v>1.121111121</v>
      </c>
      <c r="AT4">
        <f>IVCFlow!AT4-ArterialFlow!AT4</f>
        <v>0.97005833600000013</v>
      </c>
      <c r="AU4">
        <f>IVCFlow!AU4-ArterialFlow!AU4</f>
        <v>1.2773250060000001</v>
      </c>
      <c r="AV4">
        <f>IVCFlow!AV4-ArterialFlow!AV4</f>
        <v>1.1100222319999999</v>
      </c>
      <c r="AW4">
        <f>IVCFlow!AW4-ArterialFlow!AW4</f>
        <v>1.1452055560000001</v>
      </c>
      <c r="AY4">
        <f>IVCFlow!AY4-ArterialFlow!AY4</f>
        <v>1.2884527750000001</v>
      </c>
      <c r="AZ4">
        <f>IVCFlow!AZ4-ArterialFlow!AZ4</f>
        <v>1.1885487960000001</v>
      </c>
      <c r="BA4">
        <f>IVCFlow!BA4-ArterialFlow!BA4</f>
        <v>1.0783856650000001</v>
      </c>
      <c r="BB4">
        <f>IVCFlow!BB4-ArterialFlow!BB4</f>
        <v>1.053517807</v>
      </c>
      <c r="BC4">
        <f>IVCFlow!BC4-ArterialFlow!BC4</f>
        <v>1.2927581770000001</v>
      </c>
      <c r="BD4">
        <f>IVCFlow!BD4-ArterialFlow!BD4</f>
        <v>1.0427286490000001</v>
      </c>
      <c r="BE4">
        <f>IVCFlow!BE4-ArterialFlow!BE4</f>
        <v>1.0828813960000001</v>
      </c>
      <c r="BF4">
        <f>IVCFlow!BF4-ArterialFlow!BF4</f>
        <v>1.0165711899999998</v>
      </c>
      <c r="BG4">
        <f>IVCFlow!BG4-ArterialFlow!BG4</f>
        <v>2.3829180189999999</v>
      </c>
      <c r="BH4">
        <f>IVCFlow!BH4-ArterialFlow!BH4</f>
        <v>1.3111111209999999</v>
      </c>
      <c r="BI4">
        <f>IVCFlow!BI4-ArterialFlow!BI4</f>
        <v>1.3855944130000002</v>
      </c>
      <c r="BJ4">
        <f>IVCFlow!BJ4-ArterialFlow!BJ4</f>
        <v>1.376387896</v>
      </c>
      <c r="BK4">
        <f>IVCFlow!BK4-ArterialFlow!BK4</f>
        <v>1.3114388749999999</v>
      </c>
      <c r="BL4">
        <f>IVCFlow!BL4-ArterialFlow!BL4</f>
        <v>1.0707888890000001</v>
      </c>
      <c r="BM4">
        <f>IVCFlow!BM4-ArterialFlow!BM4</f>
        <v>1.121111121</v>
      </c>
      <c r="BN4">
        <f>IVCFlow!BN4-ArterialFlow!BN4</f>
        <v>1.187524311</v>
      </c>
      <c r="BO4">
        <f>IVCFlow!BO4-ArterialFlow!BO4</f>
        <v>1.0913388879999999</v>
      </c>
      <c r="BP4">
        <f>IVCFlow!BP4-ArterialFlow!BP4</f>
        <v>1.1311694480000001</v>
      </c>
      <c r="BQ4">
        <f>IVCFlow!BQ4-ArterialFlow!BQ4</f>
        <v>0.60458332799999992</v>
      </c>
      <c r="BR4">
        <f>IVCFlow!BR4-ArterialFlow!BR4</f>
        <v>1.2725861100000002</v>
      </c>
      <c r="BS4">
        <f>IVCFlow!BS4-ArterialFlow!BS4</f>
        <v>1.134952782</v>
      </c>
      <c r="BT4">
        <f>IVCFlow!BT4-ArterialFlow!BT4</f>
        <v>1.2517527800000001</v>
      </c>
      <c r="BU4">
        <f>IVCFlow!BU4-ArterialFlow!BU4</f>
        <v>1.085816669</v>
      </c>
      <c r="BV4">
        <f>IVCFlow!BV4-ArterialFlow!BV4</f>
        <v>1.1826111109999999</v>
      </c>
      <c r="BW4">
        <f>IVCFlow!BW4-ArterialFlow!BW4</f>
        <v>1.0303333350000001</v>
      </c>
      <c r="BX4">
        <f>IVCFlow!BX4-ArterialFlow!BX4</f>
        <v>0.998607931</v>
      </c>
      <c r="BY4">
        <f>IVCFlow!BY4-ArterialFlow!BY4</f>
        <v>1.1954555339999999</v>
      </c>
      <c r="BZ4">
        <v>1.5452388770000001</v>
      </c>
      <c r="CA4">
        <f>IVCFlow!CA4-ArterialFlow!CA4</f>
        <v>0.98915278100000004</v>
      </c>
      <c r="CB4">
        <f>IVCFlow!CB4-ArterialFlow!CB4</f>
        <v>1.061314978</v>
      </c>
      <c r="CC4">
        <f>IVCFlow!CC4-ArterialFlow!CC4</f>
        <v>1.0269624450000001</v>
      </c>
      <c r="CD4">
        <f>IVCFlow!CD4-ArterialFlow!CD4</f>
        <v>1.148571443</v>
      </c>
      <c r="CE4">
        <f>IVCFlow!CE4-ArterialFlow!CE4</f>
        <v>1.154655556</v>
      </c>
      <c r="CF4">
        <f>IVCFlow!CF4-ArterialFlow!CF4</f>
        <v>1.2025090230000002</v>
      </c>
      <c r="CG4">
        <f>IVCFlow!CG4-ArterialFlow!CG4</f>
        <v>1.2773250060000001</v>
      </c>
      <c r="CH4">
        <f>IVCFlow!CH4-ArterialFlow!CH4</f>
        <v>1.2884527750000001</v>
      </c>
      <c r="CI4">
        <f>IVCFlow!CI4-ArterialFlow!CI4</f>
        <v>1.188675006</v>
      </c>
      <c r="CJ4">
        <f>IVCFlow!CJ4-ArterialFlow!CJ4</f>
        <v>1.079044447</v>
      </c>
      <c r="CK4" s="1" t="s">
        <v>10</v>
      </c>
      <c r="CL4" s="1">
        <f>AVERAGE(B4:CJ4)</f>
        <v>1.118199119914884</v>
      </c>
      <c r="CM4" s="1">
        <f t="shared" si="1"/>
        <v>0.20215832524909044</v>
      </c>
      <c r="CN4" s="1">
        <f t="shared" si="2"/>
        <v>2.1927149024068997E-2</v>
      </c>
    </row>
    <row r="5" spans="1:97" x14ac:dyDescent="0.25">
      <c r="A5">
        <v>2</v>
      </c>
      <c r="B5">
        <f>IVCFlow!B5-ArterialFlow!B5</f>
        <v>0.96789869010300089</v>
      </c>
      <c r="C5">
        <f>IVCFlow!C5-ArterialFlow!C5</f>
        <v>0.88602141500000009</v>
      </c>
      <c r="D5">
        <f>IVCFlow!D5-ArterialFlow!D5</f>
        <v>0.95857545799999988</v>
      </c>
      <c r="E5">
        <f>IVCFlow!E5-ArterialFlow!E5</f>
        <v>1.147396522</v>
      </c>
      <c r="F5">
        <f>IVCFlow!F5-ArterialFlow!F5</f>
        <v>0.94493291999999984</v>
      </c>
      <c r="G5">
        <f>IVCFlow!G5-ArterialFlow!G5</f>
        <v>0.94493291999999984</v>
      </c>
      <c r="H5">
        <f>IVCFlow!H5-ArterialFlow!H5</f>
        <v>1.168291193</v>
      </c>
      <c r="I5">
        <f>IVCFlow!I5-ArterialFlow!I5</f>
        <v>1.0405685579999999</v>
      </c>
      <c r="J5">
        <f>IVCFlow!J5-ArterialFlow!J5</f>
        <v>1.0249944439999998</v>
      </c>
      <c r="K5">
        <f>IVCFlow!K5-ArterialFlow!K5</f>
        <v>0.89578333499999996</v>
      </c>
      <c r="L5">
        <f>IVCFlow!L5-ArterialFlow!L5</f>
        <v>0.98379099199999998</v>
      </c>
      <c r="M5">
        <f>IVCFlow!M5-ArterialFlow!M5</f>
        <v>0.95282578999999989</v>
      </c>
      <c r="N5">
        <f>IVCFlow!N5-ArterialFlow!N5</f>
        <v>0.93955487100000012</v>
      </c>
      <c r="O5">
        <f>IVCFlow!O5-ArterialFlow!O5</f>
        <v>1.225932917</v>
      </c>
      <c r="P5">
        <f>IVCFlow!P5-ArterialFlow!P5</f>
        <v>0.95090555799999987</v>
      </c>
      <c r="Q5">
        <f>IVCFlow!Q5-ArterialFlow!Q5</f>
        <v>1.0589583309999999</v>
      </c>
      <c r="R5">
        <f>IVCFlow!R5-ArterialFlow!R5</f>
        <v>0.8137777799999999</v>
      </c>
      <c r="S5">
        <f>IVCFlow!S5-ArterialFlow!S5</f>
        <v>1.1881135229999999</v>
      </c>
      <c r="T5">
        <f>IVCFlow!T5-ArterialFlow!T5</f>
        <v>1.1334806799999999</v>
      </c>
      <c r="U5">
        <f>IVCFlow!U5-ArterialFlow!U5</f>
        <v>1.098226301</v>
      </c>
      <c r="V5">
        <f>IVCFlow!V5-ArterialFlow!V5</f>
        <v>0.75570277099999994</v>
      </c>
      <c r="W5">
        <f>IVCFlow!W5-ArterialFlow!W5</f>
        <v>1.2327032279999999</v>
      </c>
      <c r="X5">
        <f>IVCFlow!X5-ArterialFlow!X5</f>
        <v>1.155732577</v>
      </c>
      <c r="Y5">
        <f>IVCFlow!Y5-ArterialFlow!Y5</f>
        <v>1.0422651439999999</v>
      </c>
      <c r="Z5">
        <f>IVCFlow!Z5-ArterialFlow!Z5</f>
        <v>1.0916915189999998</v>
      </c>
      <c r="AB5">
        <f>IVCFlow!AB5-ArterialFlow!AB5</f>
        <v>1.3117515880000001</v>
      </c>
      <c r="AC5">
        <f>IVCFlow!AC5-ArterialFlow!AC5</f>
        <v>1.0986949770000001</v>
      </c>
      <c r="AD5">
        <f>IVCFlow!AD5-ArterialFlow!AD5</f>
        <v>1.1723529260000001</v>
      </c>
      <c r="AE5">
        <f>IVCFlow!AE5-ArterialFlow!AE5</f>
        <v>1.1268204609999999</v>
      </c>
      <c r="AF5">
        <f>IVCFlow!AF5-ArterialFlow!AF5</f>
        <v>1.055349292</v>
      </c>
      <c r="AG5">
        <f>IVCFlow!AG5-ArterialFlow!AG5</f>
        <v>1.1450099869999999</v>
      </c>
      <c r="AH5">
        <f>IVCFlow!AH5-ArterialFlow!AH5</f>
        <v>1.2269797140000001</v>
      </c>
      <c r="AI5">
        <f>IVCFlow!AI5-ArterialFlow!AI5</f>
        <v>1.316308335</v>
      </c>
      <c r="AJ5">
        <f>IVCFlow!AJ5-ArterialFlow!AJ5</f>
        <v>1.2144382610000002</v>
      </c>
      <c r="AK5">
        <f>IVCFlow!AK5-ArterialFlow!AK5</f>
        <v>1.0236985489999999</v>
      </c>
      <c r="AL5">
        <f>IVCFlow!AL5-ArterialFlow!AL5</f>
        <v>1.2130625909999999</v>
      </c>
      <c r="AM5">
        <f>IVCFlow!AM5-ArterialFlow!AM5</f>
        <v>0.95750555800000003</v>
      </c>
      <c r="AN5">
        <f>IVCFlow!AN5-ArterialFlow!AN5</f>
        <v>1.09254998</v>
      </c>
      <c r="AO5">
        <f>IVCFlow!AO5-ArterialFlow!AO5</f>
        <v>1.0722517090000001</v>
      </c>
      <c r="AP5">
        <f>IVCFlow!AP5-ArterialFlow!AP5</f>
        <v>1.12881944</v>
      </c>
      <c r="AQ5">
        <f>IVCFlow!AQ5-ArterialFlow!AQ5</f>
        <v>1.154077767</v>
      </c>
      <c r="AR5">
        <f>IVCFlow!AR5-ArterialFlow!AR5</f>
        <v>0.49729827599999998</v>
      </c>
      <c r="AS5">
        <f>IVCFlow!AS5-ArterialFlow!AS5</f>
        <v>1.1528750149999998</v>
      </c>
      <c r="AT5">
        <f>IVCFlow!AT5-ArterialFlow!AT5</f>
        <v>0.77298416300000006</v>
      </c>
      <c r="AU5">
        <f>IVCFlow!AU5-ArterialFlow!AU5</f>
        <v>1.288078965</v>
      </c>
      <c r="AV5">
        <f>IVCFlow!AV5-ArterialFlow!AV5</f>
        <v>1.0750583969999998</v>
      </c>
      <c r="AW5">
        <f>IVCFlow!AW5-ArterialFlow!AW5</f>
        <v>1.1791194629999999</v>
      </c>
      <c r="AY5">
        <f>IVCFlow!AY5-ArterialFlow!AY5</f>
        <v>1.2940555570000001</v>
      </c>
      <c r="AZ5">
        <f>IVCFlow!AZ5-ArterialFlow!AZ5</f>
        <v>1.2362406130000001</v>
      </c>
      <c r="BA5">
        <f>IVCFlow!BA5-ArterialFlow!BA5</f>
        <v>1.1104222259999998</v>
      </c>
      <c r="BB5">
        <f>IVCFlow!BB5-ArterialFlow!BB5</f>
        <v>1.099533611</v>
      </c>
      <c r="BC5">
        <f>IVCFlow!BC5-ArterialFlow!BC5</f>
        <v>1.281792767</v>
      </c>
      <c r="BD5">
        <f>IVCFlow!BD5-ArterialFlow!BD5</f>
        <v>0.98242243500000004</v>
      </c>
      <c r="BE5">
        <f>IVCFlow!BE5-ArterialFlow!BE5</f>
        <v>1.0937576710000001</v>
      </c>
      <c r="BF5">
        <f>IVCFlow!BF5-ArterialFlow!BF5</f>
        <v>1.029181967</v>
      </c>
      <c r="BG5">
        <f>IVCFlow!BG5-ArterialFlow!BG5</f>
        <v>2.3647216589999998</v>
      </c>
      <c r="BH5">
        <f>IVCFlow!BH5-ArterialFlow!BH5</f>
        <v>1.3076055710000001</v>
      </c>
      <c r="BI5">
        <f>IVCFlow!BI5-ArterialFlow!BI5</f>
        <v>1.4073017640000001</v>
      </c>
      <c r="BL5">
        <f>IVCFlow!BL5-ArterialFlow!BL5</f>
        <v>1.09377222</v>
      </c>
      <c r="BM5">
        <f>IVCFlow!BM5-ArterialFlow!BM5</f>
        <v>1.1528750149999998</v>
      </c>
      <c r="BN5">
        <f>IVCFlow!BN5-ArterialFlow!BN5</f>
        <v>1.1942583329999998</v>
      </c>
      <c r="BO5">
        <f>IVCFlow!BO5-ArterialFlow!BO5</f>
        <v>1.117225001</v>
      </c>
      <c r="BP5">
        <f>IVCFlow!BP5-ArterialFlow!BP5</f>
        <v>1.1268277819999999</v>
      </c>
      <c r="BQ5">
        <f>IVCFlow!BQ5-ArterialFlow!BQ5</f>
        <v>1.055334816</v>
      </c>
      <c r="BR5">
        <f>IVCFlow!BR5-ArterialFlow!BR5</f>
        <v>1.2269722190000001</v>
      </c>
      <c r="BS5">
        <f>IVCFlow!BS5-ArterialFlow!BS5</f>
        <v>1.1450432990000001</v>
      </c>
      <c r="BT5">
        <f>IVCFlow!BT5-ArterialFlow!BT5</f>
        <v>1.316308335</v>
      </c>
      <c r="BU5">
        <f>IVCFlow!BU5-ArterialFlow!BU5</f>
        <v>1.097427784</v>
      </c>
      <c r="BV5">
        <f>IVCFlow!BV5-ArterialFlow!BV5</f>
        <v>1.214526006</v>
      </c>
      <c r="BW5">
        <f>IVCFlow!BW5-ArterialFlow!BW5</f>
        <v>1.0534527790000001</v>
      </c>
      <c r="BX5">
        <f>IVCFlow!BX5-ArterialFlow!BX5</f>
        <v>1.0237388839999999</v>
      </c>
      <c r="BY5">
        <f>IVCFlow!BY5-ArterialFlow!BY5</f>
        <v>1.210411224</v>
      </c>
      <c r="BZ5">
        <v>1.588422225</v>
      </c>
      <c r="CA5">
        <f>IVCFlow!CA5-ArterialFlow!CA5</f>
        <v>0.99475528000000013</v>
      </c>
      <c r="CB5">
        <f>IVCFlow!CB5-ArterialFlow!CB5</f>
        <v>1.049313503</v>
      </c>
      <c r="CC5">
        <f>IVCFlow!CC5-ArterialFlow!CC5</f>
        <v>1.072059831</v>
      </c>
      <c r="CD5">
        <f>IVCFlow!CD5-ArterialFlow!CD5</f>
        <v>1.1490105589999999</v>
      </c>
      <c r="CE5">
        <f>IVCFlow!CE5-ArterialFlow!CE5</f>
        <v>1.1664888860000002</v>
      </c>
      <c r="CF5">
        <f>IVCFlow!CF5-ArterialFlow!CF5</f>
        <v>1.1997611079999999</v>
      </c>
      <c r="CG5">
        <f>IVCFlow!CG5-ArterialFlow!CG5</f>
        <v>1.28810001</v>
      </c>
      <c r="CH5">
        <f>IVCFlow!CH5-ArterialFlow!CH5</f>
        <v>1.2940555570000001</v>
      </c>
      <c r="CI5">
        <f>IVCFlow!CI5-ArterialFlow!CI5</f>
        <v>1.2362350559999999</v>
      </c>
      <c r="CJ5">
        <f>IVCFlow!CJ5-ArterialFlow!CJ5</f>
        <v>1.1104222259999998</v>
      </c>
      <c r="CK5" s="1" t="s">
        <v>11</v>
      </c>
      <c r="CL5" s="1">
        <f t="shared" ref="CL5" si="3">AVERAGE(B5:CJ5)</f>
        <v>1.1236382726518432</v>
      </c>
      <c r="CM5" s="1">
        <f t="shared" si="1"/>
        <v>0.20618993489058177</v>
      </c>
      <c r="CN5" s="1">
        <f t="shared" si="2"/>
        <v>2.2632285620587143E-2</v>
      </c>
    </row>
    <row r="6" spans="1:97" x14ac:dyDescent="0.25">
      <c r="A6">
        <v>3</v>
      </c>
      <c r="B6">
        <f>IVCFlow!B6-ArterialFlow!B6</f>
        <v>0.69005656031686202</v>
      </c>
      <c r="C6">
        <f>IVCFlow!C6-ArterialFlow!C6</f>
        <v>0.86574270499999995</v>
      </c>
      <c r="D6">
        <f>IVCFlow!D6-ArterialFlow!D6</f>
        <v>0.96411895800000003</v>
      </c>
      <c r="E6">
        <f>IVCFlow!E6-ArterialFlow!E6</f>
        <v>1.0816296380000001</v>
      </c>
      <c r="F6">
        <f>IVCFlow!F6-ArterialFlow!F6</f>
        <v>1.027888892</v>
      </c>
      <c r="G6">
        <f>IVCFlow!G6-ArterialFlow!G6</f>
        <v>1.027888892</v>
      </c>
      <c r="H6">
        <f>IVCFlow!H6-ArterialFlow!H6</f>
        <v>1.182110657</v>
      </c>
      <c r="I6">
        <f>IVCFlow!I6-ArterialFlow!I6</f>
        <v>1.033861361</v>
      </c>
      <c r="J6">
        <f>IVCFlow!J6-ArterialFlow!J6</f>
        <v>1.0136555540000001</v>
      </c>
      <c r="K6">
        <f>IVCFlow!K6-ArterialFlow!K6</f>
        <v>0.92345978599999989</v>
      </c>
      <c r="L6">
        <f>IVCFlow!L6-ArterialFlow!L6</f>
        <v>0.93965248899999987</v>
      </c>
      <c r="M6">
        <f>IVCFlow!M6-ArterialFlow!M6</f>
        <v>0.94467630300000005</v>
      </c>
      <c r="N6">
        <f>IVCFlow!N6-ArterialFlow!N6</f>
        <v>0.90113055200000003</v>
      </c>
      <c r="O6">
        <f>IVCFlow!O6-ArterialFlow!O6</f>
        <v>1.2054100609999998</v>
      </c>
      <c r="P6">
        <f>IVCFlow!P6-ArterialFlow!P6</f>
        <v>1.0298392969999999</v>
      </c>
      <c r="Q6">
        <f>IVCFlow!Q6-ArterialFlow!Q6</f>
        <v>0.98507525099999993</v>
      </c>
      <c r="R6">
        <f>IVCFlow!R6-ArterialFlow!R6</f>
        <v>0.90683449099999991</v>
      </c>
      <c r="S6">
        <f>IVCFlow!S6-ArterialFlow!S6</f>
        <v>1.161343725</v>
      </c>
      <c r="T6">
        <f>IVCFlow!T6-ArterialFlow!T6</f>
        <v>1.086022225</v>
      </c>
      <c r="U6">
        <f>IVCFlow!U6-ArterialFlow!U6</f>
        <v>1.03981667</v>
      </c>
      <c r="V6">
        <f>IVCFlow!V6-ArterialFlow!V6</f>
        <v>0.73651110599999992</v>
      </c>
      <c r="W6">
        <f>IVCFlow!W6-ArterialFlow!W6</f>
        <v>1.1922621069999999</v>
      </c>
      <c r="X6">
        <f>IVCFlow!X6-ArterialFlow!X6</f>
        <v>1.114881708</v>
      </c>
      <c r="Y6">
        <f>IVCFlow!Y6-ArterialFlow!Y6</f>
        <v>1.04685468</v>
      </c>
      <c r="Z6">
        <f>IVCFlow!Z6-ArterialFlow!Z6</f>
        <v>1.050676223</v>
      </c>
      <c r="AB6">
        <f>IVCFlow!AB6-ArterialFlow!AB6</f>
        <v>1.268994138</v>
      </c>
      <c r="AC6">
        <f>IVCFlow!AC6-ArterialFlow!AC6</f>
        <v>1.090635832</v>
      </c>
      <c r="AD6">
        <f>IVCFlow!AD6-ArterialFlow!AD6</f>
        <v>1.178639473</v>
      </c>
      <c r="AE6">
        <f>IVCFlow!AE6-ArterialFlow!AE6</f>
        <v>1.181819204</v>
      </c>
      <c r="AF6">
        <f>IVCFlow!AF6-ArterialFlow!AF6</f>
        <v>1.044514339</v>
      </c>
      <c r="AH6">
        <f>IVCFlow!AH6-ArterialFlow!AH6</f>
        <v>1.2314794290000002</v>
      </c>
      <c r="AI6">
        <f>IVCFlow!AI6-ArterialFlow!AI6</f>
        <v>1.266683351</v>
      </c>
      <c r="AJ6">
        <f>IVCFlow!AJ6-ArterialFlow!AJ6</f>
        <v>1.1906232430000001</v>
      </c>
      <c r="AK6">
        <f>IVCFlow!AK6-ArterialFlow!AK6</f>
        <v>1.0020322799999999</v>
      </c>
      <c r="AL6">
        <f>IVCFlow!AL6-ArterialFlow!AL6</f>
        <v>1.201448472</v>
      </c>
      <c r="AM6">
        <f>IVCFlow!AM6-ArterialFlow!AM6</f>
        <v>0.9508027750000001</v>
      </c>
      <c r="AN6">
        <f>IVCFlow!AN6-ArterialFlow!AN6</f>
        <v>1.042322207</v>
      </c>
      <c r="AO6">
        <f>IVCFlow!AO6-ArterialFlow!AO6</f>
        <v>1.0286088760000001</v>
      </c>
      <c r="AP6">
        <f>IVCFlow!AP6-ArterialFlow!AP6</f>
        <v>1.11985555</v>
      </c>
      <c r="AQ6">
        <f>IVCFlow!AQ6-ArterialFlow!AQ6</f>
        <v>1.110433461</v>
      </c>
      <c r="AS6">
        <f>IVCFlow!AS6-ArterialFlow!AS6</f>
        <v>1.200402792</v>
      </c>
      <c r="AT6">
        <f>IVCFlow!AT6-ArterialFlow!AT6</f>
        <v>0.96458993400000015</v>
      </c>
      <c r="AU6">
        <f>IVCFlow!AU6-ArterialFlow!AU6</f>
        <v>1.297657686</v>
      </c>
      <c r="AV6">
        <f>IVCFlow!AV6-ArterialFlow!AV6</f>
        <v>1.0932666289999999</v>
      </c>
      <c r="AW6">
        <f>IVCFlow!AW6-ArterialFlow!AW6</f>
        <v>1.1565805249999999</v>
      </c>
      <c r="AY6">
        <f>IVCFlow!AY6-ArterialFlow!AY6</f>
        <v>1.267780589</v>
      </c>
      <c r="AZ6">
        <f>IVCFlow!AZ6-ArterialFlow!AZ6</f>
        <v>1.1651237829999999</v>
      </c>
      <c r="BA6">
        <f>IVCFlow!BA6-ArterialFlow!BA6</f>
        <v>1.023241665</v>
      </c>
      <c r="BB6">
        <f>IVCFlow!BB6-ArterialFlow!BB6</f>
        <v>1.0555860270000001</v>
      </c>
      <c r="BC6">
        <f>IVCFlow!BC6-ArterialFlow!BC6</f>
        <v>1.2785194419999999</v>
      </c>
      <c r="BD6">
        <f>IVCFlow!BD6-ArterialFlow!BD6</f>
        <v>0.97918843699999991</v>
      </c>
      <c r="BE6">
        <f>IVCFlow!BE6-ArterialFlow!BE6</f>
        <v>1.047902111</v>
      </c>
      <c r="BF6">
        <f>IVCFlow!BF6-ArterialFlow!BF6</f>
        <v>1.1291747860000001</v>
      </c>
      <c r="BG6">
        <f>IVCFlow!BG6-ArterialFlow!BG6</f>
        <v>0.56001950500000008</v>
      </c>
      <c r="BH6">
        <f>IVCFlow!BH6-ArterialFlow!BH6</f>
        <v>1.301711134</v>
      </c>
      <c r="BI6">
        <f>IVCFlow!BI6-ArterialFlow!BI6</f>
        <v>1.4079333380000001</v>
      </c>
      <c r="BL6">
        <f>IVCFlow!BL6-ArterialFlow!BL6</f>
        <v>1.0899527770000002</v>
      </c>
      <c r="BM6">
        <f>IVCFlow!BM6-ArterialFlow!BM6</f>
        <v>1.200402792</v>
      </c>
      <c r="BN6">
        <f>IVCFlow!BN6-ArterialFlow!BN6</f>
        <v>1.1792025419999999</v>
      </c>
      <c r="BO6">
        <f>IVCFlow!BO6-ArterialFlow!BO6</f>
        <v>1.0634222250000001</v>
      </c>
      <c r="BP6">
        <f>IVCFlow!BP6-ArterialFlow!BP6</f>
        <v>1.1818194559999999</v>
      </c>
      <c r="BQ6">
        <f>IVCFlow!BQ6-ArterialFlow!BQ6</f>
        <v>1.0444833389999999</v>
      </c>
      <c r="BR6">
        <f>IVCFlow!BR6-ArterialFlow!BR6</f>
        <v>1.2314861180000001</v>
      </c>
      <c r="BT6">
        <f>IVCFlow!BT6-ArterialFlow!BT6</f>
        <v>1.266683351</v>
      </c>
      <c r="BU6">
        <f>IVCFlow!BU6-ArterialFlow!BU6</f>
        <v>1.0820027679999999</v>
      </c>
      <c r="BV6">
        <f>IVCFlow!BV6-ArterialFlow!BV6</f>
        <v>1.1905944270000002</v>
      </c>
      <c r="BW6">
        <f>IVCFlow!BW6-ArterialFlow!BW6</f>
        <v>1.054195604</v>
      </c>
      <c r="BX6">
        <f>IVCFlow!BX6-ArterialFlow!BX6</f>
        <v>1.000791698</v>
      </c>
      <c r="BY6">
        <f>IVCFlow!BY6-ArterialFlow!BY6</f>
        <v>1.2116680560000002</v>
      </c>
      <c r="BZ6">
        <v>1.5703861139999999</v>
      </c>
      <c r="CA6">
        <f>IVCFlow!CA6-ArterialFlow!CA6</f>
        <v>0.98773611199999989</v>
      </c>
      <c r="CB6">
        <f>IVCFlow!CB6-ArterialFlow!CB6</f>
        <v>1.0246900159999999</v>
      </c>
      <c r="CC6">
        <f>IVCFlow!CC6-ArterialFlow!CC6</f>
        <v>1.0284713839999999</v>
      </c>
      <c r="CD6">
        <f>IVCFlow!CD6-ArterialFlow!CD6</f>
        <v>1.1796193240000001</v>
      </c>
      <c r="CE6">
        <f>IVCFlow!CE6-ArterialFlow!CE6</f>
        <v>1.125930549</v>
      </c>
      <c r="CF6">
        <f>IVCFlow!CF6-ArterialFlow!CF6</f>
        <v>1.2259972350000001</v>
      </c>
      <c r="CG6">
        <f>IVCFlow!CG6-ArterialFlow!CG6</f>
        <v>1.2976632429999999</v>
      </c>
      <c r="CH6">
        <f>IVCFlow!CH6-ArterialFlow!CH6</f>
        <v>1.2677799729999999</v>
      </c>
      <c r="CI6">
        <f>IVCFlow!CI6-ArterialFlow!CI6</f>
        <v>1.1651708799999998</v>
      </c>
      <c r="CJ6">
        <f>IVCFlow!CJ6-ArterialFlow!CJ6</f>
        <v>1.02321478</v>
      </c>
      <c r="CK6" s="1" t="s">
        <v>8</v>
      </c>
      <c r="CL6" s="1">
        <f>AVERAGE(B6,C6,D20,E6,F13,G13,H9,I16,J8,K21,L13,M14,N15,O12,P20,Q12,R16,S9,T12,U12,V12,W11,X7,Y8,Z6,AB8,AD11,AC7,AE8,AF10,AG5,AH8,AI9,AJ11,AK10,AL9,AM13,AN11,AO11,AP7,AQ7,AR6,AS9,AT13,AU10,AV10,AW22,AY10,AZ10,BA12,BB17,BC8,BD7,BE17,BF11,BG7,BH19,BI10,BJ5,BK5,BL9,BM9,BN14,BO12,BP8,BQ10,BR8,BS5,BT9,BU11,BV11,BW13,BX10,BY17,BZ9,CA21,CB12,CC12,CD12,CE15,CF8,CG10,CH10,CI11,CJ12)</f>
        <v>1.0079501069290435</v>
      </c>
      <c r="CM6" s="1">
        <f>STDEV(B6,C6,D20,E6,F13,G13,H9,I16,J8,K21,L13,M14,N15,O12,P20,Q12,R16,S9,T12,U12,V12,W11,X7,Y8,Z6,AB8,AD11,AC7,AE8,AF10,AG5,AH8,AI9,AJ11,AK10,AL9,AM13,AN11,AO11,AP7,AQ7,AR6,AS9,AT13,AU10,AV10,AW22,AY10,AZ10,BA12,BB17,BC8,BD7,BE17,BF11,BG7,BH19,BI10,BJ5,BK5,BL9,BM9,BN14,BO12,BP8,BQ10,BR8,BS5,BT9,BU11,BV11,BW13,BX10,BY17,BZ9,CA21,CB12,CC12,CD12,CE15,CF8,CG10,CH10,CI11,CJ12)</f>
        <v>0.16048239430325664</v>
      </c>
      <c r="CN6" s="1">
        <f t="shared" si="2"/>
        <v>1.7942477142700343E-2</v>
      </c>
    </row>
    <row r="7" spans="1:97" x14ac:dyDescent="0.25">
      <c r="A7">
        <v>4</v>
      </c>
      <c r="D7">
        <f>IVCFlow!D7-ArterialFlow!D7</f>
        <v>0.91459850100000017</v>
      </c>
      <c r="F7">
        <f>IVCFlow!F7-ArterialFlow!F7</f>
        <v>1.085733343</v>
      </c>
      <c r="G7">
        <f>IVCFlow!G7-ArterialFlow!G7</f>
        <v>1.085733343</v>
      </c>
      <c r="H7">
        <f>IVCFlow!H7-ArterialFlow!H7</f>
        <v>1.159479535</v>
      </c>
      <c r="I7">
        <f>IVCFlow!I7-ArterialFlow!I7</f>
        <v>1.0317288410000001</v>
      </c>
      <c r="J7">
        <f>IVCFlow!J7-ArterialFlow!J7</f>
        <v>1.0176277740000002</v>
      </c>
      <c r="K7">
        <f>IVCFlow!K7-ArterialFlow!K7</f>
        <v>0.8981313689999999</v>
      </c>
      <c r="L7">
        <f>IVCFlow!L7-ArterialFlow!L7</f>
        <v>0.94050319699999996</v>
      </c>
      <c r="M7">
        <f>IVCFlow!M7-ArterialFlow!M7</f>
        <v>0.93400723199999991</v>
      </c>
      <c r="N7">
        <f>IVCFlow!N7-ArterialFlow!N7</f>
        <v>0.86273209999999989</v>
      </c>
      <c r="O7">
        <f>IVCFlow!O7-ArterialFlow!O7</f>
        <v>1.1457079029999999</v>
      </c>
      <c r="P7">
        <f>IVCFlow!P7-ArterialFlow!P7</f>
        <v>1.0845771289999999</v>
      </c>
      <c r="Q7">
        <f>IVCFlow!Q7-ArterialFlow!Q7</f>
        <v>1.052630248</v>
      </c>
      <c r="R7">
        <f>IVCFlow!R7-ArterialFlow!R7</f>
        <v>0.87246384700000013</v>
      </c>
      <c r="S7">
        <f>IVCFlow!S7-ArterialFlow!S7</f>
        <v>1.145613859</v>
      </c>
      <c r="T7">
        <f>IVCFlow!T7-ArterialFlow!T7</f>
        <v>1.0828222199999999</v>
      </c>
      <c r="U7">
        <f>IVCFlow!U7-ArterialFlow!U7</f>
        <v>1.024107839</v>
      </c>
      <c r="V7">
        <f>IVCFlow!V7-ArterialFlow!V7</f>
        <v>0.73258610800000001</v>
      </c>
      <c r="W7">
        <f>IVCFlow!W7-ArterialFlow!W7</f>
        <v>1.16841317</v>
      </c>
      <c r="X7">
        <f>IVCFlow!X7-ArterialFlow!X7</f>
        <v>1.014376368</v>
      </c>
      <c r="Y7">
        <f>IVCFlow!Y7-ArterialFlow!Y7</f>
        <v>1.0349055050000002</v>
      </c>
      <c r="AB7">
        <f>IVCFlow!AB7-ArterialFlow!AB7</f>
        <v>1.2266545690000001</v>
      </c>
      <c r="AC7">
        <f>IVCFlow!AC7-ArterialFlow!AC7</f>
        <v>1.1625797019999999</v>
      </c>
      <c r="AD7">
        <f>IVCFlow!AD7-ArterialFlow!AD7</f>
        <v>1.1533117500000001</v>
      </c>
      <c r="AE7">
        <f>IVCFlow!AE7-ArterialFlow!AE7</f>
        <v>1.1646955499999998</v>
      </c>
      <c r="AF7">
        <f>IVCFlow!AF7-ArterialFlow!AF7</f>
        <v>0.94943795399999997</v>
      </c>
      <c r="AH7">
        <f>IVCFlow!AH7-ArterialFlow!AH7</f>
        <v>1.232746737</v>
      </c>
      <c r="AI7">
        <f>IVCFlow!AI7-ArterialFlow!AI7</f>
        <v>1.2476638870000001</v>
      </c>
      <c r="AJ7">
        <f>IVCFlow!AJ7-ArterialFlow!AJ7</f>
        <v>1.1442817670000001</v>
      </c>
      <c r="AK7">
        <f>IVCFlow!AK7-ArterialFlow!AK7</f>
        <v>0.99019477999999994</v>
      </c>
      <c r="AL7">
        <f>IVCFlow!AL7-ArterialFlow!AL7</f>
        <v>1.2145894849999999</v>
      </c>
      <c r="AM7">
        <f>IVCFlow!AM7-ArterialFlow!AM7</f>
        <v>0.90431388899999998</v>
      </c>
      <c r="AN7">
        <f>IVCFlow!AN7-ArterialFlow!AN7</f>
        <v>1.1800222119999999</v>
      </c>
      <c r="AO7">
        <f>IVCFlow!AO7-ArterialFlow!AO7</f>
        <v>1.0253528879999998</v>
      </c>
      <c r="AP7">
        <f>IVCFlow!AP7-ArterialFlow!AP7</f>
        <v>1.0737148219999999</v>
      </c>
      <c r="AQ7">
        <f>IVCFlow!AQ7-ArterialFlow!AQ7</f>
        <v>1.0684801320000001</v>
      </c>
      <c r="AS7">
        <f>IVCFlow!AS7-ArterialFlow!AS7</f>
        <v>1.2657333589999999</v>
      </c>
      <c r="AT7">
        <f>IVCFlow!AT7-ArterialFlow!AT7</f>
        <v>0.96919610300000003</v>
      </c>
      <c r="AU7">
        <f>IVCFlow!AU7-ArterialFlow!AU7</f>
        <v>1.2637472590000001</v>
      </c>
      <c r="AV7">
        <f>IVCFlow!AV7-ArterialFlow!AV7</f>
        <v>0.99671856999999997</v>
      </c>
      <c r="AW7">
        <f>IVCFlow!AW7-ArterialFlow!AW7</f>
        <v>1.1538365349999999</v>
      </c>
      <c r="AY7">
        <f>IVCFlow!AY7-ArterialFlow!AY7</f>
        <v>1.2629777609999999</v>
      </c>
      <c r="AZ7">
        <f>IVCFlow!AZ7-ArterialFlow!AZ7</f>
        <v>1.1495993339999999</v>
      </c>
      <c r="BA7">
        <f>IVCFlow!BA7-ArterialFlow!BA7</f>
        <v>1.005363885</v>
      </c>
      <c r="BB7">
        <f>IVCFlow!BB7-ArterialFlow!BB7</f>
        <v>1.0623372419999999</v>
      </c>
      <c r="BC7">
        <f>IVCFlow!BC7-ArterialFlow!BC7</f>
        <v>1.2598750009999999</v>
      </c>
      <c r="BE7">
        <f>IVCFlow!BE7-ArterialFlow!BE7</f>
        <v>1.0333522930000001</v>
      </c>
      <c r="BF7">
        <f>IVCFlow!BF7-ArterialFlow!BF7</f>
        <v>0.97786429399999997</v>
      </c>
      <c r="BH7">
        <f>IVCFlow!BH7-ArterialFlow!BH7</f>
        <v>1.3002722489999998</v>
      </c>
      <c r="BI7">
        <f>IVCFlow!BI7-ArterialFlow!BI7</f>
        <v>1.425744449</v>
      </c>
      <c r="BL7">
        <f>IVCFlow!BL7-ArterialFlow!BL7</f>
        <v>1.0919527929999999</v>
      </c>
      <c r="BM7">
        <f>IVCFlow!BM7-ArterialFlow!BM7</f>
        <v>1.2657333589999999</v>
      </c>
      <c r="BN7">
        <f>IVCFlow!BN7-ArterialFlow!BN7</f>
        <v>1.1733888879999999</v>
      </c>
      <c r="BO7">
        <f>IVCFlow!BO7-ArterialFlow!BO7</f>
        <v>0.96536111300000016</v>
      </c>
      <c r="BP7">
        <f>IVCFlow!BP7-ArterialFlow!BP7</f>
        <v>1.1646971929999999</v>
      </c>
      <c r="BQ7">
        <f>IVCFlow!BQ7-ArterialFlow!BQ7</f>
        <v>0.94933314999999996</v>
      </c>
      <c r="BR7">
        <f>IVCFlow!BR7-ArterialFlow!BR7</f>
        <v>1.2327888929999999</v>
      </c>
      <c r="BT7">
        <f>IVCFlow!BT7-ArterialFlow!BT7</f>
        <v>1.2476638870000001</v>
      </c>
      <c r="BU7">
        <f>IVCFlow!BU7-ArterialFlow!BU7</f>
        <v>1.0848194089999998</v>
      </c>
      <c r="BV7">
        <f>IVCFlow!BV7-ArterialFlow!BV7</f>
        <v>1.1442778</v>
      </c>
      <c r="BW7">
        <f>IVCFlow!BW7-ArterialFlow!BW7</f>
        <v>1.0335982289999999</v>
      </c>
      <c r="BX7">
        <f>IVCFlow!BX7-ArterialFlow!BX7</f>
        <v>0.99019445500000003</v>
      </c>
      <c r="BY7">
        <f>IVCFlow!BY7-ArterialFlow!BY7</f>
        <v>1.2077444509999999</v>
      </c>
      <c r="BZ7">
        <v>1.584975005</v>
      </c>
      <c r="CA7">
        <f>IVCFlow!CA7-ArterialFlow!CA7</f>
        <v>0.95420950599999999</v>
      </c>
      <c r="CB7">
        <f>IVCFlow!CB7-ArterialFlow!CB7</f>
        <v>1.0229424839999999</v>
      </c>
      <c r="CC7">
        <f>IVCFlow!CC7-ArterialFlow!CC7</f>
        <v>1.025702779</v>
      </c>
      <c r="CD7">
        <f>IVCFlow!CD7-ArterialFlow!CD7</f>
        <v>1.198536104</v>
      </c>
      <c r="CE7">
        <f>IVCFlow!CE7-ArterialFlow!CE7</f>
        <v>1.1252222189999999</v>
      </c>
      <c r="CF7">
        <f>IVCFlow!CF7-ArterialFlow!CF7</f>
        <v>1.204070585</v>
      </c>
      <c r="CG7">
        <f>IVCFlow!CG7-ArterialFlow!CG7</f>
        <v>1.2637510780000001</v>
      </c>
      <c r="CH7">
        <f>IVCFlow!CH7-ArterialFlow!CH7</f>
        <v>1.2629777609999999</v>
      </c>
      <c r="CI7">
        <f>IVCFlow!CI7-ArterialFlow!CI7</f>
        <v>1.1496721319999998</v>
      </c>
      <c r="CJ7">
        <f>IVCFlow!CJ7-ArterialFlow!CJ7</f>
        <v>1.005363885</v>
      </c>
    </row>
    <row r="8" spans="1:97" x14ac:dyDescent="0.25">
      <c r="A8">
        <v>5</v>
      </c>
      <c r="D8">
        <f>IVCFlow!D8-ArterialFlow!D8</f>
        <v>0.90895526900000001</v>
      </c>
      <c r="F8">
        <f>IVCFlow!F8-ArterialFlow!F8</f>
        <v>1.039149769</v>
      </c>
      <c r="G8">
        <f>IVCFlow!G8-ArterialFlow!G8</f>
        <v>1.039149769</v>
      </c>
      <c r="H8">
        <f>IVCFlow!H8-ArterialFlow!H8</f>
        <v>1.153049537</v>
      </c>
      <c r="I8">
        <f>IVCFlow!I8-ArterialFlow!I8</f>
        <v>1.01635579</v>
      </c>
      <c r="J8">
        <f>IVCFlow!J8-ArterialFlow!J8</f>
        <v>0.69461538600000006</v>
      </c>
      <c r="K8">
        <f>IVCFlow!K8-ArterialFlow!K8</f>
        <v>0.90257173499999999</v>
      </c>
      <c r="L8">
        <f>IVCFlow!L8-ArterialFlow!L8</f>
        <v>0.93264942800000006</v>
      </c>
      <c r="M8">
        <f>IVCFlow!M8-ArterialFlow!M8</f>
        <v>0.90063073000000005</v>
      </c>
      <c r="N8">
        <f>IVCFlow!N8-ArterialFlow!N8</f>
        <v>0.84230425999999992</v>
      </c>
      <c r="O8">
        <f>IVCFlow!O8-ArterialFlow!O8</f>
        <v>1.16278287</v>
      </c>
      <c r="P8">
        <f>IVCFlow!P8-ArterialFlow!P8</f>
        <v>1.1117783459999999</v>
      </c>
      <c r="Q8">
        <f>IVCFlow!Q8-ArterialFlow!Q8</f>
        <v>1.069404534</v>
      </c>
      <c r="R8">
        <f>IVCFlow!R8-ArterialFlow!R8</f>
        <v>0.87700305699999992</v>
      </c>
      <c r="S8">
        <f>IVCFlow!S8-ArterialFlow!S8</f>
        <v>1.1491888560000001</v>
      </c>
      <c r="T8">
        <f>IVCFlow!T8-ArterialFlow!T8</f>
        <v>1.0821138850000001</v>
      </c>
      <c r="U8">
        <f>IVCFlow!U8-ArterialFlow!U8</f>
        <v>0.99919978200000004</v>
      </c>
      <c r="V8">
        <f>IVCFlow!V8-ArterialFlow!V8</f>
        <v>0.72720833099999993</v>
      </c>
      <c r="W8">
        <f>IVCFlow!W8-ArterialFlow!W8</f>
        <v>1.1794899920000002</v>
      </c>
      <c r="Y8">
        <f>IVCFlow!Y8-ArterialFlow!Y8</f>
        <v>1.111462553</v>
      </c>
      <c r="AB8">
        <f>IVCFlow!AB8-ArterialFlow!AB8</f>
        <v>1.2323993959999999</v>
      </c>
      <c r="AD8">
        <f>IVCFlow!AD8-ArterialFlow!AD8</f>
        <v>1.145475976</v>
      </c>
      <c r="AE8">
        <f>IVCFlow!AE8-ArterialFlow!AE8</f>
        <v>1.1182195610000001</v>
      </c>
      <c r="AF8">
        <f>IVCFlow!AF8-ArterialFlow!AF8</f>
        <v>0.95175946700000003</v>
      </c>
      <c r="AH8">
        <f>IVCFlow!AH8-ArterialFlow!AH8</f>
        <v>1.0782999969999998</v>
      </c>
      <c r="AI8">
        <f>IVCFlow!AI8-ArterialFlow!AI8</f>
        <v>1.2532027569999999</v>
      </c>
      <c r="AJ8">
        <f>IVCFlow!AJ8-ArterialFlow!AJ8</f>
        <v>1.112039459</v>
      </c>
      <c r="AK8">
        <f>IVCFlow!AK8-ArterialFlow!AK8</f>
        <v>0.99987996599999995</v>
      </c>
      <c r="AL8">
        <f>IVCFlow!AL8-ArterialFlow!AL8</f>
        <v>1.187679427</v>
      </c>
      <c r="AM8">
        <f>IVCFlow!AM8-ArterialFlow!AM8</f>
        <v>0.90011389799999997</v>
      </c>
      <c r="AN8">
        <f>IVCFlow!AN8-ArterialFlow!AN8</f>
        <v>1.168905552</v>
      </c>
      <c r="AO8">
        <f>IVCFlow!AO8-ArterialFlow!AO8</f>
        <v>1.043112528</v>
      </c>
      <c r="AQ8">
        <f>IVCFlow!AQ8-ArterialFlow!AQ8</f>
        <v>0.90706521699999998</v>
      </c>
      <c r="AS8">
        <f>IVCFlow!AS8-ArterialFlow!AS8</f>
        <v>1.1034027880000001</v>
      </c>
      <c r="AT8">
        <f>IVCFlow!AT8-ArterialFlow!AT8</f>
        <v>0.95516944100000012</v>
      </c>
      <c r="AU8">
        <f>IVCFlow!AU8-ArterialFlow!AU8</f>
        <v>1.2509174590000001</v>
      </c>
      <c r="AV8">
        <f>IVCFlow!AV8-ArterialFlow!AV8</f>
        <v>1.025215443</v>
      </c>
      <c r="AW8">
        <f>IVCFlow!AW8-ArterialFlow!AW8</f>
        <v>1.1275326130000001</v>
      </c>
      <c r="AY8">
        <f>IVCFlow!AY8-ArterialFlow!AY8</f>
        <v>1.26325</v>
      </c>
      <c r="AZ8">
        <f>IVCFlow!AZ8-ArterialFlow!AZ8</f>
        <v>1.2101809809999999</v>
      </c>
      <c r="BA8">
        <f>IVCFlow!BA8-ArterialFlow!BA8</f>
        <v>1.0665027389999999</v>
      </c>
      <c r="BB8">
        <f>IVCFlow!BB8-ArterialFlow!BB8</f>
        <v>1.0562135619999999</v>
      </c>
      <c r="BE8">
        <f>IVCFlow!BE8-ArterialFlow!BE8</f>
        <v>1.0455469259999999</v>
      </c>
      <c r="BF8">
        <f>IVCFlow!BF8-ArterialFlow!BF8</f>
        <v>1.1305643830000001</v>
      </c>
      <c r="BH8">
        <f>IVCFlow!BH8-ArterialFlow!BH8</f>
        <v>1.2964778109999999</v>
      </c>
      <c r="BI8">
        <f>IVCFlow!BI8-ArterialFlow!BI8</f>
        <v>1.4102111150000001</v>
      </c>
      <c r="BL8">
        <f>IVCFlow!BL8-ArterialFlow!BL8</f>
        <v>0.81592222199999997</v>
      </c>
      <c r="BM8">
        <f>IVCFlow!BM8-ArterialFlow!BM8</f>
        <v>1.1034027880000001</v>
      </c>
      <c r="BN8">
        <f>IVCFlow!BN8-ArterialFlow!BN8</f>
        <v>1.184132551</v>
      </c>
      <c r="BO8">
        <f>IVCFlow!BO8-ArterialFlow!BO8</f>
        <v>0.9495805570000001</v>
      </c>
      <c r="BP8">
        <f>IVCFlow!BP8-ArterialFlow!BP8</f>
        <v>1.1182294509999999</v>
      </c>
      <c r="BQ8">
        <f>IVCFlow!BQ8-ArterialFlow!BQ8</f>
        <v>0.95174722399999989</v>
      </c>
      <c r="BR8">
        <f>IVCFlow!BR8-ArterialFlow!BR8</f>
        <v>1.0782999969999998</v>
      </c>
      <c r="BT8">
        <f>IVCFlow!BT8-ArterialFlow!BT8</f>
        <v>1.2532027569999999</v>
      </c>
      <c r="BU8">
        <f>IVCFlow!BU8-ArterialFlow!BU8</f>
        <v>1.0753416599999999</v>
      </c>
      <c r="BV8">
        <f>IVCFlow!BV8-ArterialFlow!BV8</f>
        <v>1.1120388919999999</v>
      </c>
      <c r="BW8">
        <f>IVCFlow!BW8-ArterialFlow!BW8</f>
        <v>1.0653083529999998</v>
      </c>
      <c r="BX8">
        <f>IVCFlow!BX8-ArterialFlow!BX8</f>
        <v>0.99986664400000003</v>
      </c>
      <c r="BY8">
        <f>IVCFlow!BY8-ArterialFlow!BY8</f>
        <v>1.1619194429999999</v>
      </c>
      <c r="BZ8">
        <v>1.552744409</v>
      </c>
      <c r="CA8">
        <f>IVCFlow!CA8-ArterialFlow!CA8</f>
        <v>1.010730549</v>
      </c>
      <c r="CB8">
        <f>IVCFlow!CB8-ArterialFlow!CB8</f>
        <v>1.0100027710000001</v>
      </c>
      <c r="CC8">
        <f>IVCFlow!CC8-ArterialFlow!CC8</f>
        <v>1.044152781</v>
      </c>
      <c r="CD8">
        <f>IVCFlow!CD8-ArterialFlow!CD8</f>
        <v>1.1588388860000001</v>
      </c>
      <c r="CE8">
        <f>IVCFlow!CE8-ArterialFlow!CE8</f>
        <v>1.076610171</v>
      </c>
      <c r="CF8">
        <f>IVCFlow!CF8-ArterialFlow!CF8</f>
        <v>1.1750209530000002</v>
      </c>
      <c r="CG8">
        <f>IVCFlow!CG8-ArterialFlow!CG8</f>
        <v>1.250908361</v>
      </c>
      <c r="CH8">
        <f>IVCFlow!CH8-ArterialFlow!CH8</f>
        <v>1.26325</v>
      </c>
      <c r="CI8">
        <f>IVCFlow!CI8-ArterialFlow!CI8</f>
        <v>1.2101920110000002</v>
      </c>
      <c r="CJ8">
        <f>IVCFlow!CJ8-ArterialFlow!CJ8</f>
        <v>1.0665027389999999</v>
      </c>
    </row>
    <row r="9" spans="1:97" x14ac:dyDescent="0.25">
      <c r="A9">
        <v>6</v>
      </c>
      <c r="D9">
        <f>IVCFlow!D9-ArterialFlow!D9</f>
        <v>0.8002267460000001</v>
      </c>
      <c r="F9">
        <f>IVCFlow!F9-ArterialFlow!F9</f>
        <v>1.0829766620000001</v>
      </c>
      <c r="G9">
        <f>IVCFlow!G9-ArterialFlow!G9</f>
        <v>1.0829766620000001</v>
      </c>
      <c r="H9">
        <f>IVCFlow!H9-ArterialFlow!H9</f>
        <v>0.95233775099999995</v>
      </c>
      <c r="I9">
        <f>IVCFlow!I9-ArterialFlow!I9</f>
        <v>0.99834586399999992</v>
      </c>
      <c r="K9">
        <f>IVCFlow!K9-ArterialFlow!K9</f>
        <v>0.89462777500000001</v>
      </c>
      <c r="L9">
        <f>IVCFlow!L9-ArterialFlow!L9</f>
        <v>0.90982734500000007</v>
      </c>
      <c r="M9">
        <f>IVCFlow!M9-ArterialFlow!M9</f>
        <v>0.89916295999999996</v>
      </c>
      <c r="N9">
        <f>IVCFlow!N9-ArterialFlow!N9</f>
        <v>0.83110801699999992</v>
      </c>
      <c r="O9">
        <f>IVCFlow!O9-ArterialFlow!O9</f>
        <v>1.0885277769999999</v>
      </c>
      <c r="P9">
        <f>IVCFlow!P9-ArterialFlow!P9</f>
        <v>1.0942138959999999</v>
      </c>
      <c r="Q9">
        <f>IVCFlow!Q9-ArterialFlow!Q9</f>
        <v>1.077160294</v>
      </c>
      <c r="R9">
        <f>IVCFlow!R9-ArterialFlow!R9</f>
        <v>0.92877364299999998</v>
      </c>
      <c r="S9">
        <f>IVCFlow!S9-ArterialFlow!S9</f>
        <v>1.060149979</v>
      </c>
      <c r="T9">
        <f>IVCFlow!T9-ArterialFlow!T9</f>
        <v>1.069605554</v>
      </c>
      <c r="U9">
        <f>IVCFlow!U9-ArterialFlow!U9</f>
        <v>1.033608571</v>
      </c>
      <c r="V9">
        <f>IVCFlow!V9-ArterialFlow!V9</f>
        <v>0.73191388400000001</v>
      </c>
      <c r="W9">
        <f>IVCFlow!W9-ArterialFlow!W9</f>
        <v>1.1643064279999999</v>
      </c>
      <c r="AD9">
        <f>IVCFlow!AD9-ArterialFlow!AD9</f>
        <v>1.095472754</v>
      </c>
      <c r="AF9">
        <f>IVCFlow!AF9-ArterialFlow!AF9</f>
        <v>0.94559788999999994</v>
      </c>
      <c r="AI9">
        <f>IVCFlow!AI9-ArterialFlow!AI9</f>
        <v>1.225479998</v>
      </c>
      <c r="AJ9">
        <f>IVCFlow!AJ9-ArterialFlow!AJ9</f>
        <v>1.07955493</v>
      </c>
      <c r="AK9">
        <f>IVCFlow!AK9-ArterialFlow!AK9</f>
        <v>0.99525478199999995</v>
      </c>
      <c r="AL9">
        <f>IVCFlow!AL9-ArterialFlow!AL9</f>
        <v>1.159570446</v>
      </c>
      <c r="AM9">
        <f>IVCFlow!AM9-ArterialFlow!AM9</f>
        <v>0.84453192799999999</v>
      </c>
      <c r="AN9">
        <f>IVCFlow!AN9-ArterialFlow!AN9</f>
        <v>1.171230558</v>
      </c>
      <c r="AO9">
        <f>IVCFlow!AO9-ArterialFlow!AO9</f>
        <v>1.06528478</v>
      </c>
      <c r="AS9">
        <f>IVCFlow!AS9-ArterialFlow!AS9</f>
        <v>0.711834517</v>
      </c>
      <c r="AT9">
        <f>IVCFlow!AT9-ArterialFlow!AT9</f>
        <v>0.95877709700000002</v>
      </c>
      <c r="AU9">
        <f>IVCFlow!AU9-ArterialFlow!AU9</f>
        <v>1.2330441890000001</v>
      </c>
      <c r="AV9">
        <f>IVCFlow!AV9-ArterialFlow!AV9</f>
        <v>1.0291717380000001</v>
      </c>
      <c r="AW9">
        <f>IVCFlow!AW9-ArterialFlow!AW9</f>
        <v>1.1103669549999999</v>
      </c>
      <c r="AY9">
        <f>IVCFlow!AY9-ArterialFlow!AY9</f>
        <v>1.264350021</v>
      </c>
      <c r="AZ9">
        <f>IVCFlow!AZ9-ArterialFlow!AZ9</f>
        <v>1.149393098</v>
      </c>
      <c r="BA9">
        <f>IVCFlow!BA9-ArterialFlow!BA9</f>
        <v>1.0396471899999999</v>
      </c>
      <c r="BB9">
        <f>IVCFlow!BB9-ArterialFlow!BB9</f>
        <v>1.087894444</v>
      </c>
      <c r="BE9">
        <f>IVCFlow!BE9-ArterialFlow!BE9</f>
        <v>1.047546823</v>
      </c>
      <c r="BF9">
        <f>IVCFlow!BF9-ArterialFlow!BF9</f>
        <v>1.1165814619999999</v>
      </c>
      <c r="BH9">
        <f>IVCFlow!BH9-ArterialFlow!BH9</f>
        <v>1.289988927</v>
      </c>
      <c r="BI9">
        <f>IVCFlow!BI9-ArterialFlow!BI9</f>
        <v>1.420258722</v>
      </c>
      <c r="BN9">
        <f>IVCFlow!BN9-ArterialFlow!BN9</f>
        <v>1.1735186209999999</v>
      </c>
      <c r="BO9">
        <f>IVCFlow!BO9-ArterialFlow!BO9</f>
        <v>0.93726666800000002</v>
      </c>
      <c r="BQ9">
        <f>IVCFlow!BQ9-ArterialFlow!BQ9</f>
        <v>0.94521389199999994</v>
      </c>
      <c r="BT9">
        <f>IVCFlow!BT9-ArterialFlow!BT9</f>
        <v>1.225476362</v>
      </c>
      <c r="BU9">
        <f>IVCFlow!BU9-ArterialFlow!BU9</f>
        <v>1.081252756</v>
      </c>
      <c r="BV9">
        <f>IVCFlow!BV9-ArterialFlow!BV9</f>
        <v>1.0795577120000002</v>
      </c>
      <c r="BW9">
        <f>IVCFlow!BW9-ArterialFlow!BW9</f>
        <v>1.0317416960000001</v>
      </c>
      <c r="BX9">
        <f>IVCFlow!BX9-ArterialFlow!BX9</f>
        <v>0.99527775600000012</v>
      </c>
      <c r="BY9">
        <f>IVCFlow!BY9-ArterialFlow!BY9</f>
        <v>1.1581161400000002</v>
      </c>
      <c r="BZ9">
        <v>1.5190010629999999</v>
      </c>
      <c r="CA9">
        <f>IVCFlow!CA9-ArterialFlow!CA9</f>
        <v>1.0094749850000002</v>
      </c>
      <c r="CB9">
        <f>IVCFlow!CB9-ArterialFlow!CB9</f>
        <v>0.98466777000000005</v>
      </c>
      <c r="CC9">
        <f>IVCFlow!CC9-ArterialFlow!CC9</f>
        <v>1.0652944230000001</v>
      </c>
      <c r="CD9">
        <f>IVCFlow!CD9-ArterialFlow!CD9</f>
        <v>1.0691555529999999</v>
      </c>
      <c r="CE9">
        <f>IVCFlow!CE9-ArterialFlow!CE9</f>
        <v>1.0386722269999999</v>
      </c>
      <c r="CG9">
        <f>IVCFlow!CG9-ArterialFlow!CG9</f>
        <v>1.2330499850000001</v>
      </c>
      <c r="CH9">
        <f>IVCFlow!CH9-ArterialFlow!CH9</f>
        <v>1.264350021</v>
      </c>
      <c r="CI9">
        <f>IVCFlow!CI9-ArterialFlow!CI9</f>
        <v>1.149449084</v>
      </c>
      <c r="CJ9">
        <f>IVCFlow!CJ9-ArterialFlow!CJ9</f>
        <v>1.0396471899999999</v>
      </c>
    </row>
    <row r="10" spans="1:97" x14ac:dyDescent="0.25">
      <c r="A10">
        <v>7</v>
      </c>
      <c r="D10">
        <f>IVCFlow!D10-ArterialFlow!D10</f>
        <v>1.09136743</v>
      </c>
      <c r="F10">
        <f>IVCFlow!F10-ArterialFlow!F10</f>
        <v>1.076197217</v>
      </c>
      <c r="G10">
        <f>IVCFlow!G10-ArterialFlow!G10</f>
        <v>1.076197217</v>
      </c>
      <c r="I10">
        <f>IVCFlow!I10-ArterialFlow!I10</f>
        <v>1.0117670010000002</v>
      </c>
      <c r="K10">
        <f>IVCFlow!K10-ArterialFlow!K10</f>
        <v>0.88763333100000008</v>
      </c>
      <c r="L10">
        <f>IVCFlow!L10-ArterialFlow!L10</f>
        <v>0.92735638799999998</v>
      </c>
      <c r="M10">
        <f>IVCFlow!M10-ArterialFlow!M10</f>
        <v>0.91183537400000003</v>
      </c>
      <c r="N10">
        <f>IVCFlow!N10-ArterialFlow!N10</f>
        <v>0.92939276000000004</v>
      </c>
      <c r="O10">
        <f>IVCFlow!O10-ArterialFlow!O10</f>
        <v>1.0762948530000001</v>
      </c>
      <c r="P10">
        <f>IVCFlow!P10-ArterialFlow!P10</f>
        <v>1.047741673</v>
      </c>
      <c r="Q10">
        <f>IVCFlow!Q10-ArterialFlow!Q10</f>
        <v>1.0354049320000001</v>
      </c>
      <c r="R10">
        <f>IVCFlow!R10-ArterialFlow!R10</f>
        <v>0.91073610799999993</v>
      </c>
      <c r="T10">
        <f>IVCFlow!T10-ArterialFlow!T10</f>
        <v>1.0562138940000001</v>
      </c>
      <c r="U10">
        <f>IVCFlow!U10-ArterialFlow!U10</f>
        <v>1.022893278</v>
      </c>
      <c r="V10">
        <f>IVCFlow!V10-ArterialFlow!V10</f>
        <v>0.72971943899999991</v>
      </c>
      <c r="W10">
        <f>IVCFlow!W10-ArterialFlow!W10</f>
        <v>1.169189668</v>
      </c>
      <c r="AD10">
        <f>IVCFlow!AD10-ArterialFlow!AD10</f>
        <v>1.0957685929999998</v>
      </c>
      <c r="AF10">
        <f>IVCFlow!AF10-ArterialFlow!AF10</f>
        <v>0.82449579599999989</v>
      </c>
      <c r="AJ10">
        <f>IVCFlow!AJ10-ArterialFlow!AJ10</f>
        <v>1.0537969570000001</v>
      </c>
      <c r="AK10">
        <f>IVCFlow!AK10-ArterialFlow!AK10</f>
        <v>0.95359848799999991</v>
      </c>
      <c r="AM10">
        <f>IVCFlow!AM10-ArterialFlow!AM10</f>
        <v>0.85964424100000003</v>
      </c>
      <c r="AN10">
        <f>IVCFlow!AN10-ArterialFlow!AN10</f>
        <v>1.1666203099999999</v>
      </c>
      <c r="AO10">
        <f>IVCFlow!AO10-ArterialFlow!AO10</f>
        <v>1.1010808190000001</v>
      </c>
      <c r="AT10">
        <f>IVCFlow!AT10-ArterialFlow!AT10</f>
        <v>0.95179493900000001</v>
      </c>
      <c r="AU10">
        <f>IVCFlow!AU10-ArterialFlow!AU10</f>
        <v>1.2275816979999998</v>
      </c>
      <c r="AV10">
        <f>IVCFlow!AV10-ArterialFlow!AV10</f>
        <v>1.0527338900000001</v>
      </c>
      <c r="AW10">
        <f>IVCFlow!AW10-ArterialFlow!AW10</f>
        <v>1.103274944</v>
      </c>
      <c r="AY10">
        <f>IVCFlow!AY10-ArterialFlow!AY10</f>
        <v>0.82638661099999999</v>
      </c>
      <c r="AZ10">
        <f>IVCFlow!AZ10-ArterialFlow!AZ10</f>
        <v>0.85831245799999989</v>
      </c>
      <c r="BA10">
        <f>IVCFlow!BA10-ArterialFlow!BA10</f>
        <v>1.0392164230000001</v>
      </c>
      <c r="BB10">
        <f>IVCFlow!BB10-ArterialFlow!BB10</f>
        <v>1.1093805370000001</v>
      </c>
      <c r="BE10">
        <f>IVCFlow!BE10-ArterialFlow!BE10</f>
        <v>1.020167942</v>
      </c>
      <c r="BF10">
        <f>IVCFlow!BF10-ArterialFlow!BF10</f>
        <v>1.1178953469999999</v>
      </c>
      <c r="BH10">
        <f>IVCFlow!BH10-ArterialFlow!BH10</f>
        <v>1.2917278139999999</v>
      </c>
      <c r="BN10">
        <f>IVCFlow!BN10-ArterialFlow!BN10</f>
        <v>1.1736194449999999</v>
      </c>
      <c r="BO10">
        <f>IVCFlow!BO10-ArterialFlow!BO10</f>
        <v>0.93843611000000005</v>
      </c>
      <c r="BQ10">
        <f>IVCFlow!BQ10-ArterialFlow!BQ10</f>
        <v>0.82108786300000014</v>
      </c>
      <c r="BU10">
        <f>IVCFlow!BU10-ArterialFlow!BU10</f>
        <v>1.119880569</v>
      </c>
      <c r="BV10">
        <f>IVCFlow!BV10-ArterialFlow!BV10</f>
        <v>1.053756616</v>
      </c>
      <c r="BW10">
        <f>IVCFlow!BW10-ArterialFlow!BW10</f>
        <v>1.03251392</v>
      </c>
      <c r="BX10">
        <f>IVCFlow!BX10-ArterialFlow!BX10</f>
        <v>0.95428704500000006</v>
      </c>
      <c r="BY10">
        <f>IVCFlow!BY10-ArterialFlow!BY10</f>
        <v>1.1647610939999999</v>
      </c>
      <c r="CA10">
        <f>IVCFlow!CA10-ArterialFlow!CA10</f>
        <v>1.0116504319999999</v>
      </c>
      <c r="CB10">
        <f>IVCFlow!CB10-ArterialFlow!CB10</f>
        <v>0.93589101400000008</v>
      </c>
      <c r="CC10">
        <f>IVCFlow!CC10-ArterialFlow!CC10</f>
        <v>1.1010749629999999</v>
      </c>
      <c r="CD10">
        <f>IVCFlow!CD10-ArterialFlow!CD10</f>
        <v>1.071984432</v>
      </c>
      <c r="CE10">
        <f>IVCFlow!CE10-ArterialFlow!CE10</f>
        <v>1.0329166680000001</v>
      </c>
      <c r="CG10">
        <f>IVCFlow!CG10-ArterialFlow!CG10</f>
        <v>1.227661581</v>
      </c>
      <c r="CI10">
        <f>IVCFlow!CI10-ArterialFlow!CI10</f>
        <v>0.8579465879999999</v>
      </c>
      <c r="CJ10">
        <f>IVCFlow!CJ10-ArterialFlow!CJ10</f>
        <v>1.0392134259999999</v>
      </c>
    </row>
    <row r="11" spans="1:97" x14ac:dyDescent="0.25">
      <c r="A11">
        <v>8</v>
      </c>
      <c r="D11">
        <f>IVCFlow!D11-ArterialFlow!D11</f>
        <v>1.1017898830000001</v>
      </c>
      <c r="F11">
        <f>IVCFlow!F11-ArterialFlow!F11</f>
        <v>1.0820805410000001</v>
      </c>
      <c r="G11">
        <f>IVCFlow!G11-ArterialFlow!G11</f>
        <v>1.0820805410000001</v>
      </c>
      <c r="I11">
        <f>IVCFlow!I11-ArterialFlow!I11</f>
        <v>0.99091618199999998</v>
      </c>
      <c r="K11">
        <f>IVCFlow!K11-ArterialFlow!K11</f>
        <v>0.88782221899999991</v>
      </c>
      <c r="L11">
        <f>IVCFlow!L11-ArterialFlow!L11</f>
        <v>0.92190992699999996</v>
      </c>
      <c r="M11">
        <f>IVCFlow!M11-ArterialFlow!M11</f>
        <v>0.91197442000000006</v>
      </c>
      <c r="N11">
        <f>IVCFlow!N11-ArterialFlow!N11</f>
        <v>0.94162252599999985</v>
      </c>
      <c r="O11">
        <f>IVCFlow!O11-ArterialFlow!O11</f>
        <v>1.0628384749999999</v>
      </c>
      <c r="P11">
        <f>IVCFlow!P11-ArterialFlow!P11</f>
        <v>1.0342301089999999</v>
      </c>
      <c r="Q11">
        <f>IVCFlow!Q11-ArterialFlow!Q11</f>
        <v>1.0906365060000001</v>
      </c>
      <c r="R11">
        <f>IVCFlow!R11-ArterialFlow!R11</f>
        <v>0.89975819000000001</v>
      </c>
      <c r="T11">
        <f>IVCFlow!T11-ArterialFlow!T11</f>
        <v>1.102175014</v>
      </c>
      <c r="U11">
        <f>IVCFlow!U11-ArterialFlow!U11</f>
        <v>0.9784344410000001</v>
      </c>
      <c r="V11">
        <f>IVCFlow!V11-ArterialFlow!V11</f>
        <v>0.72685277400000003</v>
      </c>
      <c r="W11">
        <f>IVCFlow!W11-ArterialFlow!W11</f>
        <v>1.179129103</v>
      </c>
      <c r="AD11">
        <f>IVCFlow!AD11-ArterialFlow!AD11</f>
        <v>1.1244106029999998</v>
      </c>
      <c r="AJ11">
        <f>IVCFlow!AJ11-ArterialFlow!AJ11</f>
        <v>0.99342697400000002</v>
      </c>
      <c r="AM11">
        <f>IVCFlow!AM11-ArterialFlow!AM11</f>
        <v>0.87964426100000004</v>
      </c>
      <c r="AN11">
        <f>IVCFlow!AN11-ArterialFlow!AN11</f>
        <v>1.1691580859999999</v>
      </c>
      <c r="AO11">
        <f>IVCFlow!AO11-ArterialFlow!AO11</f>
        <v>1.1167805200000001</v>
      </c>
      <c r="AT11">
        <f>IVCFlow!AT11-ArterialFlow!AT11</f>
        <v>0.95883792299999993</v>
      </c>
      <c r="AW11">
        <f>IVCFlow!AW11-ArterialFlow!AW11</f>
        <v>1.0641720080000001</v>
      </c>
      <c r="BA11">
        <f>IVCFlow!BA11-ArterialFlow!BA11</f>
        <v>0.78649386300000002</v>
      </c>
      <c r="BB11">
        <f>IVCFlow!BB11-ArterialFlow!BB11</f>
        <v>1.1103556240000001</v>
      </c>
      <c r="BE11">
        <f>IVCFlow!BE11-ArterialFlow!BE11</f>
        <v>1.0266950879999999</v>
      </c>
      <c r="BH11">
        <f>IVCFlow!BH11-ArterialFlow!BH11</f>
        <v>1.293583369</v>
      </c>
      <c r="BN11">
        <f>IVCFlow!BN11-ArterialFlow!BN11</f>
        <v>1.163173104</v>
      </c>
      <c r="BO11">
        <f>IVCFlow!BO11-ArterialFlow!BO11</f>
        <v>0.9535861109999999</v>
      </c>
      <c r="BU11">
        <f>IVCFlow!BU11-ArterialFlow!BU11</f>
        <v>1.0734276010000001</v>
      </c>
      <c r="BV11">
        <f>IVCFlow!BV11-ArterialFlow!BV11</f>
        <v>0.99342697400000002</v>
      </c>
      <c r="BW11">
        <f>IVCFlow!BW11-ArterialFlow!BW11</f>
        <v>1.0184384889999998</v>
      </c>
      <c r="BY11">
        <f>IVCFlow!BY11-ArterialFlow!BY11</f>
        <v>1.153352776</v>
      </c>
      <c r="CA11">
        <f>IVCFlow!CA11-ArterialFlow!CA11</f>
        <v>1.0140355410000002</v>
      </c>
      <c r="CB11">
        <f>IVCFlow!CB11-ArterialFlow!CB11</f>
        <v>0.94051124399999986</v>
      </c>
      <c r="CC11">
        <f>IVCFlow!CC11-ArterialFlow!CC11</f>
        <v>1.1167805200000001</v>
      </c>
      <c r="CD11">
        <f>IVCFlow!CD11-ArterialFlow!CD11</f>
        <v>1.1236361100000001</v>
      </c>
      <c r="CE11">
        <f>IVCFlow!CE11-ArterialFlow!CE11</f>
        <v>1.0384801430000001</v>
      </c>
      <c r="CJ11">
        <f>IVCFlow!CJ11-ArterialFlow!CJ11</f>
        <v>0.78644900799999995</v>
      </c>
    </row>
    <row r="12" spans="1:97" x14ac:dyDescent="0.25">
      <c r="A12">
        <v>9</v>
      </c>
      <c r="D12">
        <f>IVCFlow!D12-ArterialFlow!D12</f>
        <v>1.103093382</v>
      </c>
      <c r="F12">
        <f>IVCFlow!F12-ArterialFlow!F12</f>
        <v>1.090908824</v>
      </c>
      <c r="G12">
        <f>IVCFlow!G12-ArterialFlow!G12</f>
        <v>1.090908824</v>
      </c>
      <c r="I12">
        <f>IVCFlow!I12-ArterialFlow!I12</f>
        <v>1.003812312</v>
      </c>
      <c r="K12">
        <f>IVCFlow!K12-ArterialFlow!K12</f>
        <v>0.87683482000000001</v>
      </c>
      <c r="L12">
        <f>IVCFlow!L12-ArterialFlow!L12</f>
        <v>0.95276897400000005</v>
      </c>
      <c r="M12">
        <f>IVCFlow!M12-ArterialFlow!M12</f>
        <v>0.90571150900000008</v>
      </c>
      <c r="N12">
        <f>IVCFlow!N12-ArterialFlow!N12</f>
        <v>0.94958217500000008</v>
      </c>
      <c r="O12">
        <f>IVCFlow!O12-ArterialFlow!O12</f>
        <v>1.0553269740000002</v>
      </c>
      <c r="P12">
        <f>IVCFlow!P12-ArterialFlow!P12</f>
        <v>1.0548096680000001</v>
      </c>
      <c r="Q12">
        <f>IVCFlow!Q12-ArterialFlow!Q12</f>
        <v>1.0564657129999999</v>
      </c>
      <c r="R12">
        <f>IVCFlow!R12-ArterialFlow!R12</f>
        <v>0.88123401800000012</v>
      </c>
      <c r="T12">
        <f>IVCFlow!T12-ArterialFlow!T12</f>
        <v>0.93864942400000007</v>
      </c>
      <c r="U12">
        <f>IVCFlow!U12-ArterialFlow!U12</f>
        <v>0.87083332800000002</v>
      </c>
      <c r="V12">
        <f>IVCFlow!V12-ArterialFlow!V12</f>
        <v>0.72498747099999994</v>
      </c>
      <c r="AM12">
        <f>IVCFlow!AM12-ArterialFlow!AM12</f>
        <v>0.86591428400000003</v>
      </c>
      <c r="AN12">
        <f>IVCFlow!AN12-ArterialFlow!AN12</f>
        <v>0.83940676199999997</v>
      </c>
      <c r="AO12">
        <f>IVCFlow!AO12-ArterialFlow!AO12</f>
        <v>0.51952363199999996</v>
      </c>
      <c r="AT12">
        <f>IVCFlow!AT12-ArterialFlow!AT12</f>
        <v>0.95170236599999991</v>
      </c>
      <c r="AW12">
        <f>IVCFlow!AW12-ArterialFlow!AW12</f>
        <v>1.056077892</v>
      </c>
      <c r="BB12">
        <f>IVCFlow!BB12-ArterialFlow!BB12</f>
        <v>1.131258667</v>
      </c>
      <c r="BE12">
        <f>IVCFlow!BE12-ArterialFlow!BE12</f>
        <v>1.0329640179999999</v>
      </c>
      <c r="BH12">
        <f>IVCFlow!BH12-ArterialFlow!BH12</f>
        <v>1.2962278120000001</v>
      </c>
      <c r="BN12">
        <f>IVCFlow!BN12-ArterialFlow!BN12</f>
        <v>1.169033065</v>
      </c>
      <c r="BO12">
        <f>IVCFlow!BO12-ArterialFlow!BO12</f>
        <v>0.91983812699999989</v>
      </c>
      <c r="BW12">
        <f>IVCFlow!BW12-ArterialFlow!BW12</f>
        <v>0.99344821200000011</v>
      </c>
      <c r="BY12">
        <f>IVCFlow!BY12-ArterialFlow!BY12</f>
        <v>1.1399194530000001</v>
      </c>
      <c r="CA12">
        <f>IVCFlow!CA12-ArterialFlow!CA12</f>
        <v>1.0281472389999999</v>
      </c>
      <c r="CB12">
        <f>IVCFlow!CB12-ArterialFlow!CB12</f>
        <v>0.89727046600000016</v>
      </c>
      <c r="CD12">
        <f>IVCFlow!CD12-ArterialFlow!CD12</f>
        <v>1.096475447</v>
      </c>
      <c r="CE12">
        <f>IVCFlow!CE12-ArterialFlow!CE12</f>
        <v>1.0346361150000001</v>
      </c>
    </row>
    <row r="13" spans="1:97" x14ac:dyDescent="0.25">
      <c r="A13">
        <v>10</v>
      </c>
      <c r="D13">
        <f>IVCFlow!D13-ArterialFlow!D13</f>
        <v>1.123490833</v>
      </c>
      <c r="F13">
        <f>IVCFlow!F13-ArterialFlow!F13</f>
        <v>1.0104173010000002</v>
      </c>
      <c r="G13">
        <f>IVCFlow!G13-ArterialFlow!G13</f>
        <v>1.0104173010000002</v>
      </c>
      <c r="I13">
        <f>IVCFlow!I13-ArterialFlow!I13</f>
        <v>0.99017270499999999</v>
      </c>
      <c r="K13">
        <f>IVCFlow!K13-ArterialFlow!K13</f>
        <v>0.91854959600000008</v>
      </c>
      <c r="L13">
        <f>IVCFlow!L13-ArterialFlow!L13</f>
        <v>0.88825842699999991</v>
      </c>
      <c r="M13">
        <f>IVCFlow!M13-ArterialFlow!M13</f>
        <v>0.90272298100000015</v>
      </c>
      <c r="N13">
        <f>IVCFlow!N13-ArterialFlow!N13</f>
        <v>0.93009746300000007</v>
      </c>
      <c r="P13">
        <f>IVCFlow!P13-ArterialFlow!P13</f>
        <v>1.081663883</v>
      </c>
      <c r="R13">
        <f>IVCFlow!R13-ArterialFlow!R13</f>
        <v>0.90551321200000001</v>
      </c>
      <c r="AM13">
        <f>IVCFlow!AM13-ArterialFlow!AM13</f>
        <v>0.88947336099999996</v>
      </c>
      <c r="AT13">
        <f>IVCFlow!AT13-ArterialFlow!AT13</f>
        <v>0.95210161699999996</v>
      </c>
      <c r="AW13">
        <f>IVCFlow!AW13-ArterialFlow!AW13</f>
        <v>1.0776508360000001</v>
      </c>
      <c r="BB13">
        <f>IVCFlow!BB13-ArterialFlow!BB13</f>
        <v>1.130180535</v>
      </c>
      <c r="BE13">
        <f>IVCFlow!BE13-ArterialFlow!BE13</f>
        <v>1.043384461</v>
      </c>
      <c r="BH13">
        <f>IVCFlow!BH13-ArterialFlow!BH13</f>
        <v>1.300527808</v>
      </c>
      <c r="BN13">
        <f>IVCFlow!BN13-ArterialFlow!BN13</f>
        <v>1.1415671030000001</v>
      </c>
      <c r="BY13">
        <f>IVCFlow!BY13-ArterialFlow!BY13</f>
        <v>1.117366678</v>
      </c>
      <c r="CA13">
        <f>IVCFlow!CA13-ArterialFlow!CA13</f>
        <v>1.0265639260000001</v>
      </c>
      <c r="CE13">
        <f>IVCFlow!CE13-ArterialFlow!CE13</f>
        <v>1.042436119</v>
      </c>
      <c r="CS13" t="s">
        <v>6</v>
      </c>
    </row>
    <row r="14" spans="1:97" x14ac:dyDescent="0.25">
      <c r="A14">
        <v>11</v>
      </c>
      <c r="D14">
        <f>IVCFlow!D14-ArterialFlow!D14</f>
        <v>1.1794939040000001</v>
      </c>
      <c r="I14">
        <f>IVCFlow!I14-ArterialFlow!I14</f>
        <v>0.99598102399999988</v>
      </c>
      <c r="K14">
        <f>IVCFlow!K14-ArterialFlow!K14</f>
        <v>0.92240900400000003</v>
      </c>
      <c r="M14">
        <f>IVCFlow!M14-ArterialFlow!M14</f>
        <v>0.66706672700000003</v>
      </c>
      <c r="N14">
        <f>IVCFlow!N14-ArterialFlow!N14</f>
        <v>0.86912230700000004</v>
      </c>
      <c r="P14">
        <f>IVCFlow!P14-ArterialFlow!P14</f>
        <v>1.0818318489999998</v>
      </c>
      <c r="R14">
        <f>IVCFlow!R14-ArterialFlow!R14</f>
        <v>0.90938559799999996</v>
      </c>
      <c r="AW14">
        <f>IVCFlow!AW14-ArterialFlow!AW14</f>
        <v>1.0796634479999998</v>
      </c>
      <c r="BB14">
        <f>IVCFlow!BB14-ArterialFlow!BB14</f>
        <v>1.1319666500000001</v>
      </c>
      <c r="BE14">
        <f>IVCFlow!BE14-ArterialFlow!BE14</f>
        <v>1.03871841</v>
      </c>
      <c r="BH14">
        <f>IVCFlow!BH14-ArterialFlow!BH14</f>
        <v>1.3016166979999999</v>
      </c>
      <c r="BN14">
        <f>IVCFlow!BN14-ArterialFlow!BN14</f>
        <v>1.093452114</v>
      </c>
      <c r="BY14">
        <f>IVCFlow!BY14-ArterialFlow!BY14</f>
        <v>1.1187000309999999</v>
      </c>
      <c r="CA14">
        <f>IVCFlow!CA14-ArterialFlow!CA14</f>
        <v>1.0571500249999999</v>
      </c>
      <c r="CE14">
        <f>IVCFlow!CE14-ArterialFlow!CE14</f>
        <v>0.92862778299999982</v>
      </c>
    </row>
    <row r="15" spans="1:97" x14ac:dyDescent="0.25">
      <c r="A15">
        <v>12</v>
      </c>
      <c r="D15">
        <f>IVCFlow!D15-ArterialFlow!D15</f>
        <v>1.215319619</v>
      </c>
      <c r="I15">
        <f>IVCFlow!I15-ArterialFlow!I15</f>
        <v>1.0262461709999999</v>
      </c>
      <c r="K15">
        <f>IVCFlow!K15-ArterialFlow!K15</f>
        <v>0.93207615399999999</v>
      </c>
      <c r="N15">
        <f>IVCFlow!N15-ArterialFlow!N15</f>
        <v>0.86515375099999992</v>
      </c>
      <c r="P15">
        <f>IVCFlow!P15-ArterialFlow!P15</f>
        <v>1.097190541</v>
      </c>
      <c r="R15">
        <f>IVCFlow!R15-ArterialFlow!R15</f>
        <v>0.90071468399999999</v>
      </c>
      <c r="AW15">
        <f>IVCFlow!AW15-ArterialFlow!AW15</f>
        <v>1.0717570319999998</v>
      </c>
      <c r="BB15">
        <f>IVCFlow!BB15-ArterialFlow!BB15</f>
        <v>1.1337389</v>
      </c>
      <c r="BE15">
        <f>IVCFlow!BE15-ArterialFlow!BE15</f>
        <v>1.0490796420000001</v>
      </c>
      <c r="BH15">
        <f>IVCFlow!BH15-ArterialFlow!BH15</f>
        <v>1.300850032</v>
      </c>
      <c r="BY15">
        <f>IVCFlow!BY15-ArterialFlow!BY15</f>
        <v>1.1174638779999999</v>
      </c>
      <c r="CA15">
        <f>IVCFlow!CA15-ArterialFlow!CA15</f>
        <v>1.0466888860000001</v>
      </c>
    </row>
    <row r="16" spans="1:97" x14ac:dyDescent="0.25">
      <c r="A16">
        <v>13</v>
      </c>
      <c r="D16">
        <f>IVCFlow!D16-ArterialFlow!D16</f>
        <v>1.237329076</v>
      </c>
      <c r="K16">
        <f>IVCFlow!K16-ArterialFlow!K16</f>
        <v>0.95392549399999993</v>
      </c>
      <c r="P16">
        <f>IVCFlow!P16-ArterialFlow!P16</f>
        <v>1.0877913830000001</v>
      </c>
      <c r="R16">
        <f>IVCFlow!R16-ArterialFlow!R16</f>
        <v>0.72366894100000001</v>
      </c>
      <c r="AW16">
        <f>IVCFlow!AW16-ArterialFlow!AW16</f>
        <v>1.058026122</v>
      </c>
      <c r="BB16">
        <f>IVCFlow!BB16-ArterialFlow!BB16</f>
        <v>1.015247376</v>
      </c>
      <c r="BE16">
        <f>IVCFlow!BE16-ArterialFlow!BE16</f>
        <v>1.050282419</v>
      </c>
      <c r="BH16">
        <f>IVCFlow!BH16-ArterialFlow!BH16</f>
        <v>1.301574003</v>
      </c>
      <c r="BY16">
        <f>IVCFlow!BY16-ArterialFlow!BY16</f>
        <v>1.120813866</v>
      </c>
      <c r="CA16">
        <f>IVCFlow!CA16-ArterialFlow!CA16</f>
        <v>1.0316199309999998</v>
      </c>
    </row>
    <row r="17" spans="1:79" x14ac:dyDescent="0.25">
      <c r="A17">
        <v>14</v>
      </c>
      <c r="D17">
        <f>IVCFlow!D17-ArterialFlow!D17</f>
        <v>1.240767518</v>
      </c>
      <c r="K17">
        <f>IVCFlow!K17-ArterialFlow!K17</f>
        <v>0.92560812900000011</v>
      </c>
      <c r="P17">
        <f>IVCFlow!P17-ArterialFlow!P17</f>
        <v>1.071417842</v>
      </c>
      <c r="AW17">
        <f>IVCFlow!AW17-ArterialFlow!AW17</f>
        <v>1.0529433070000001</v>
      </c>
      <c r="BE17">
        <f>IVCFlow!BE17-ArterialFlow!BE17</f>
        <v>0.91405385399999994</v>
      </c>
      <c r="BH17">
        <f>IVCFlow!BH17-ArterialFlow!BH17</f>
        <v>0.62457803500000009</v>
      </c>
      <c r="BY17">
        <f>IVCFlow!BY17-ArterialFlow!BY17</f>
        <v>1.045052839</v>
      </c>
      <c r="CA17">
        <f>IVCFlow!CA17-ArterialFlow!CA17</f>
        <v>1.041069475</v>
      </c>
    </row>
    <row r="18" spans="1:79" x14ac:dyDescent="0.25">
      <c r="A18">
        <v>15</v>
      </c>
      <c r="D18">
        <f>IVCFlow!D18-ArterialFlow!D18</f>
        <v>1.243565866</v>
      </c>
      <c r="K18">
        <f>IVCFlow!K18-ArterialFlow!K18</f>
        <v>0.93515042000000004</v>
      </c>
      <c r="P18">
        <f>IVCFlow!P18-ArterialFlow!P18</f>
        <v>1.0723887690000002</v>
      </c>
      <c r="AW18">
        <f>IVCFlow!AW18-ArterialFlow!AW18</f>
        <v>1.0506310769999998</v>
      </c>
      <c r="BH18">
        <f>IVCFlow!BH18-ArterialFlow!BH18</f>
        <v>0.83061631000000002</v>
      </c>
      <c r="CA18">
        <f>IVCFlow!CA18-ArterialFlow!CA18</f>
        <v>1.0462889120000001</v>
      </c>
    </row>
    <row r="19" spans="1:79" x14ac:dyDescent="0.25">
      <c r="A19">
        <v>16</v>
      </c>
      <c r="D19">
        <f>IVCFlow!D19-ArterialFlow!D19</f>
        <v>1.2524492459999998</v>
      </c>
      <c r="K19">
        <f>IVCFlow!K19-ArterialFlow!K19</f>
        <v>0.95726715000000007</v>
      </c>
      <c r="P19">
        <f>IVCFlow!P19-ArterialFlow!P19</f>
        <v>1.074855313</v>
      </c>
      <c r="AW19">
        <f>IVCFlow!AW19-ArterialFlow!AW19</f>
        <v>1.1073457339999999</v>
      </c>
      <c r="BH19">
        <f>IVCFlow!BH19-ArterialFlow!BH19</f>
        <v>0.85932454200000008</v>
      </c>
      <c r="CA19">
        <f>IVCFlow!CA19-ArterialFlow!CA19</f>
        <v>1.0638288419999999</v>
      </c>
    </row>
    <row r="20" spans="1:79" x14ac:dyDescent="0.25">
      <c r="A20">
        <v>17</v>
      </c>
      <c r="D20">
        <f>IVCFlow!D20-ArterialFlow!D20</f>
        <v>1.0513924299999999</v>
      </c>
      <c r="K20">
        <f>IVCFlow!K20-ArterialFlow!K20</f>
        <v>0.94085793699999987</v>
      </c>
      <c r="P20">
        <f>IVCFlow!P20-ArterialFlow!P20</f>
        <v>0.86499456299999999</v>
      </c>
      <c r="AW20">
        <f>IVCFlow!AW20-ArterialFlow!AW20</f>
        <v>1.0981962679999999</v>
      </c>
      <c r="CA20">
        <f>IVCFlow!CA20-ArterialFlow!CA20</f>
        <v>0.98451943599999991</v>
      </c>
    </row>
    <row r="21" spans="1:79" x14ac:dyDescent="0.25">
      <c r="A21">
        <v>18</v>
      </c>
      <c r="K21">
        <f>IVCFlow!K21-ArterialFlow!K21</f>
        <v>0.96414243000000011</v>
      </c>
      <c r="AW21">
        <f>IVCFlow!AW21-ArterialFlow!AW21</f>
        <v>1.0905653929999999</v>
      </c>
      <c r="CA21">
        <f>IVCFlow!CA21-ArterialFlow!CA21</f>
        <v>0.9067911070000001</v>
      </c>
    </row>
    <row r="22" spans="1:79" x14ac:dyDescent="0.25">
      <c r="A22">
        <v>19</v>
      </c>
      <c r="AW22">
        <f>IVCFlow!AW22-ArterialFlow!AW22</f>
        <v>1.1054866649999999</v>
      </c>
    </row>
    <row r="23" spans="1:79" x14ac:dyDescent="0.25">
      <c r="A23">
        <v>20</v>
      </c>
    </row>
    <row r="24" spans="1:79" x14ac:dyDescent="0.25">
      <c r="A24">
        <v>21</v>
      </c>
    </row>
    <row r="25" spans="1:79" x14ac:dyDescent="0.25">
      <c r="A25">
        <v>22</v>
      </c>
    </row>
    <row r="26" spans="1:79" x14ac:dyDescent="0.25">
      <c r="A26">
        <v>23</v>
      </c>
    </row>
    <row r="27" spans="1:79" x14ac:dyDescent="0.25">
      <c r="A27">
        <v>24</v>
      </c>
    </row>
    <row r="1048576" spans="91:91" x14ac:dyDescent="0.25">
      <c r="CM1048576" t="e">
        <f>STDEV(C1048576:CL1048576)</f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48576"/>
  <sheetViews>
    <sheetView topLeftCell="CB1" workbookViewId="0">
      <selection activeCell="CK2" sqref="CK2:CN6"/>
    </sheetView>
  </sheetViews>
  <sheetFormatPr defaultRowHeight="15" x14ac:dyDescent="0.25"/>
  <sheetData>
    <row r="1" spans="1:97" x14ac:dyDescent="0.25">
      <c r="B1" t="s">
        <v>1</v>
      </c>
    </row>
    <row r="2" spans="1:97" x14ac:dyDescent="0.25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f t="shared" ref="AL2:CJ2" si="0">AK2+1</f>
        <v>37</v>
      </c>
      <c r="AM2">
        <f t="shared" si="0"/>
        <v>38</v>
      </c>
      <c r="AN2">
        <f t="shared" si="0"/>
        <v>39</v>
      </c>
      <c r="AO2">
        <f t="shared" si="0"/>
        <v>40</v>
      </c>
      <c r="AP2">
        <f t="shared" si="0"/>
        <v>41</v>
      </c>
      <c r="AQ2">
        <f t="shared" si="0"/>
        <v>42</v>
      </c>
      <c r="AR2">
        <f t="shared" si="0"/>
        <v>43</v>
      </c>
      <c r="AS2">
        <f t="shared" si="0"/>
        <v>44</v>
      </c>
      <c r="AT2">
        <f t="shared" si="0"/>
        <v>45</v>
      </c>
      <c r="AU2">
        <f t="shared" si="0"/>
        <v>46</v>
      </c>
      <c r="AV2">
        <f t="shared" si="0"/>
        <v>47</v>
      </c>
      <c r="AW2">
        <f t="shared" si="0"/>
        <v>48</v>
      </c>
      <c r="AX2">
        <f t="shared" si="0"/>
        <v>49</v>
      </c>
      <c r="AY2">
        <f t="shared" si="0"/>
        <v>50</v>
      </c>
      <c r="AZ2">
        <f t="shared" si="0"/>
        <v>51</v>
      </c>
      <c r="BA2">
        <f t="shared" si="0"/>
        <v>52</v>
      </c>
      <c r="BB2">
        <f t="shared" si="0"/>
        <v>53</v>
      </c>
      <c r="BC2">
        <f t="shared" si="0"/>
        <v>54</v>
      </c>
      <c r="BD2">
        <f t="shared" si="0"/>
        <v>55</v>
      </c>
      <c r="BE2">
        <f t="shared" si="0"/>
        <v>56</v>
      </c>
      <c r="BF2">
        <f t="shared" si="0"/>
        <v>57</v>
      </c>
      <c r="BG2">
        <f t="shared" si="0"/>
        <v>58</v>
      </c>
      <c r="BH2">
        <f t="shared" si="0"/>
        <v>59</v>
      </c>
      <c r="BI2">
        <f t="shared" si="0"/>
        <v>60</v>
      </c>
      <c r="BJ2">
        <f t="shared" si="0"/>
        <v>61</v>
      </c>
      <c r="BK2">
        <f t="shared" si="0"/>
        <v>62</v>
      </c>
      <c r="BL2">
        <f t="shared" si="0"/>
        <v>63</v>
      </c>
      <c r="BM2">
        <f t="shared" si="0"/>
        <v>64</v>
      </c>
      <c r="BN2">
        <f t="shared" si="0"/>
        <v>65</v>
      </c>
      <c r="BO2">
        <f t="shared" si="0"/>
        <v>66</v>
      </c>
      <c r="BP2">
        <f t="shared" si="0"/>
        <v>67</v>
      </c>
      <c r="BQ2">
        <f t="shared" si="0"/>
        <v>68</v>
      </c>
      <c r="BR2">
        <f t="shared" si="0"/>
        <v>69</v>
      </c>
      <c r="BS2">
        <f t="shared" si="0"/>
        <v>70</v>
      </c>
      <c r="BT2">
        <f t="shared" si="0"/>
        <v>71</v>
      </c>
      <c r="BU2">
        <f t="shared" si="0"/>
        <v>72</v>
      </c>
      <c r="BV2">
        <f t="shared" si="0"/>
        <v>73</v>
      </c>
      <c r="BW2">
        <f t="shared" si="0"/>
        <v>74</v>
      </c>
      <c r="BX2">
        <f t="shared" si="0"/>
        <v>75</v>
      </c>
      <c r="BY2">
        <f t="shared" si="0"/>
        <v>76</v>
      </c>
      <c r="BZ2">
        <f t="shared" si="0"/>
        <v>77</v>
      </c>
      <c r="CA2">
        <f t="shared" si="0"/>
        <v>78</v>
      </c>
      <c r="CB2">
        <f t="shared" si="0"/>
        <v>79</v>
      </c>
      <c r="CC2">
        <f t="shared" si="0"/>
        <v>80</v>
      </c>
      <c r="CD2">
        <f t="shared" si="0"/>
        <v>81</v>
      </c>
      <c r="CE2">
        <f t="shared" si="0"/>
        <v>82</v>
      </c>
      <c r="CF2">
        <f t="shared" si="0"/>
        <v>83</v>
      </c>
      <c r="CG2">
        <f t="shared" si="0"/>
        <v>84</v>
      </c>
      <c r="CH2">
        <f t="shared" si="0"/>
        <v>85</v>
      </c>
      <c r="CI2">
        <f t="shared" si="0"/>
        <v>86</v>
      </c>
      <c r="CJ2">
        <f t="shared" si="0"/>
        <v>87</v>
      </c>
      <c r="CK2" s="1" t="s">
        <v>5</v>
      </c>
      <c r="CL2" s="1" t="s">
        <v>2</v>
      </c>
      <c r="CM2" s="1" t="s">
        <v>3</v>
      </c>
      <c r="CN2" s="1" t="s">
        <v>4</v>
      </c>
    </row>
    <row r="3" spans="1:97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 s="1" t="s">
        <v>9</v>
      </c>
      <c r="CL3" s="1">
        <f>AVERAGE(B3:CJ3)</f>
        <v>0</v>
      </c>
      <c r="CM3" s="1">
        <f t="shared" ref="CM3:CM5" si="1">STDEV(B3:CJ3)</f>
        <v>0</v>
      </c>
      <c r="CN3" s="1">
        <f t="shared" ref="CN3:CN6" si="2">CM3/SQRT(COUNT(B3:CJ3))</f>
        <v>0</v>
      </c>
    </row>
    <row r="4" spans="1:97" x14ac:dyDescent="0.25">
      <c r="A4">
        <v>1</v>
      </c>
      <c r="B4">
        <v>7.6285873502368302</v>
      </c>
      <c r="C4">
        <v>3.1982881597717499</v>
      </c>
      <c r="D4">
        <v>0</v>
      </c>
      <c r="E4">
        <v>0</v>
      </c>
      <c r="F4">
        <v>0.26791277258566898</v>
      </c>
      <c r="G4">
        <v>0.26791277258566898</v>
      </c>
      <c r="H4">
        <v>0</v>
      </c>
      <c r="I4">
        <v>1.2745317309999999</v>
      </c>
      <c r="J4">
        <v>3.4808333330000001</v>
      </c>
      <c r="K4">
        <v>0</v>
      </c>
      <c r="L4">
        <v>0</v>
      </c>
      <c r="M4">
        <v>0</v>
      </c>
      <c r="N4">
        <v>1.6231239580000001</v>
      </c>
      <c r="O4">
        <v>0.54555586499999997</v>
      </c>
      <c r="P4">
        <v>6.5601890459999996</v>
      </c>
      <c r="Q4">
        <v>3.418455534</v>
      </c>
      <c r="R4">
        <v>3.603946637</v>
      </c>
      <c r="S4">
        <v>0</v>
      </c>
      <c r="T4">
        <v>0</v>
      </c>
      <c r="U4">
        <v>0.19083333299999999</v>
      </c>
      <c r="V4">
        <v>1.7688888890000001</v>
      </c>
      <c r="W4">
        <v>0</v>
      </c>
      <c r="X4">
        <v>5.8814361259999997</v>
      </c>
      <c r="Y4">
        <v>0</v>
      </c>
      <c r="Z4">
        <v>0.76055612800000005</v>
      </c>
      <c r="AB4">
        <v>4.13803681</v>
      </c>
      <c r="AC4">
        <v>4.8654007259999998</v>
      </c>
      <c r="AD4">
        <v>0</v>
      </c>
      <c r="AE4">
        <v>10.68388889</v>
      </c>
      <c r="AF4">
        <v>0</v>
      </c>
      <c r="AG4">
        <v>6.4286905750000001</v>
      </c>
      <c r="AH4">
        <v>0.14098998900000001</v>
      </c>
      <c r="AI4">
        <v>5.2988888889999997</v>
      </c>
      <c r="AJ4">
        <v>17.410570239999998</v>
      </c>
      <c r="AK4">
        <v>0</v>
      </c>
      <c r="AL4">
        <v>2.5825675299999999</v>
      </c>
      <c r="AM4">
        <v>0</v>
      </c>
      <c r="AN4">
        <v>0</v>
      </c>
      <c r="AO4">
        <v>0</v>
      </c>
      <c r="AP4">
        <v>0</v>
      </c>
      <c r="AQ4">
        <v>7.3947222220000004</v>
      </c>
      <c r="AR4">
        <v>9.6427378959999999</v>
      </c>
      <c r="AS4">
        <v>0</v>
      </c>
      <c r="AT4">
        <v>0</v>
      </c>
      <c r="AU4">
        <v>0</v>
      </c>
      <c r="AV4">
        <v>8.1645358530000003</v>
      </c>
      <c r="AW4">
        <v>5.8952777779999996</v>
      </c>
      <c r="AY4">
        <v>7.3213888889999996</v>
      </c>
      <c r="AZ4">
        <v>4.4075618570000001</v>
      </c>
      <c r="BA4">
        <v>0</v>
      </c>
      <c r="BB4">
        <v>0</v>
      </c>
      <c r="BC4">
        <v>0</v>
      </c>
      <c r="BD4">
        <v>15.423985460000001</v>
      </c>
      <c r="BE4">
        <v>7.2486080179999997</v>
      </c>
      <c r="BF4">
        <v>6.5547830920000001</v>
      </c>
      <c r="BG4">
        <v>0</v>
      </c>
      <c r="BH4">
        <v>0</v>
      </c>
      <c r="BI4">
        <v>0</v>
      </c>
      <c r="BJ4">
        <v>29.8235621</v>
      </c>
      <c r="BK4">
        <v>7.9894444440000001</v>
      </c>
      <c r="BL4">
        <v>0</v>
      </c>
      <c r="BM4">
        <v>0</v>
      </c>
      <c r="BN4">
        <v>0.37593776000000001</v>
      </c>
      <c r="BO4">
        <v>0</v>
      </c>
      <c r="BP4">
        <v>10.68388889</v>
      </c>
      <c r="BQ4">
        <v>0</v>
      </c>
      <c r="BR4">
        <v>0.140833333</v>
      </c>
      <c r="BS4">
        <v>6.43</v>
      </c>
      <c r="BT4">
        <v>5.2988888889999997</v>
      </c>
      <c r="BU4">
        <v>1.855</v>
      </c>
      <c r="BV4">
        <v>17.414999999999999</v>
      </c>
      <c r="BW4">
        <v>0.70944444399999995</v>
      </c>
      <c r="BX4">
        <v>0</v>
      </c>
      <c r="BY4">
        <v>20.022500000000001</v>
      </c>
      <c r="BZ4">
        <v>2.576944444</v>
      </c>
      <c r="CA4">
        <v>9.5741666670000001</v>
      </c>
      <c r="CB4">
        <v>6.7870447599999997</v>
      </c>
      <c r="CC4">
        <v>0</v>
      </c>
      <c r="CD4">
        <v>0</v>
      </c>
      <c r="CE4">
        <v>0.80222222200000004</v>
      </c>
      <c r="CF4">
        <v>0</v>
      </c>
      <c r="CG4">
        <v>0</v>
      </c>
      <c r="CH4">
        <v>7.3213888889999996</v>
      </c>
      <c r="CI4">
        <v>4.4105555560000003</v>
      </c>
      <c r="CJ4">
        <v>0</v>
      </c>
      <c r="CK4" s="1" t="s">
        <v>10</v>
      </c>
      <c r="CL4" s="1">
        <f>AVERAGE(B4:CJ4)</f>
        <v>3.4857706911432937</v>
      </c>
      <c r="CM4" s="1">
        <f t="shared" si="1"/>
        <v>5.3578670345440207</v>
      </c>
      <c r="CN4" s="1">
        <f t="shared" si="2"/>
        <v>0.58114227436756005</v>
      </c>
    </row>
    <row r="5" spans="1:97" x14ac:dyDescent="0.25">
      <c r="A5">
        <v>2</v>
      </c>
      <c r="B5">
        <v>13.5655441135541</v>
      </c>
      <c r="C5">
        <v>12.513384051845501</v>
      </c>
      <c r="D5">
        <v>3.75260930888575</v>
      </c>
      <c r="E5">
        <v>1.48763545429285</v>
      </c>
      <c r="F5">
        <v>5.2205142537730502</v>
      </c>
      <c r="G5">
        <v>5.2205142537730502</v>
      </c>
      <c r="H5">
        <v>0</v>
      </c>
      <c r="I5">
        <v>8.4768673359999998</v>
      </c>
      <c r="J5">
        <v>6.4461111109999996</v>
      </c>
      <c r="K5">
        <v>6.7288888890000003</v>
      </c>
      <c r="L5">
        <v>0</v>
      </c>
      <c r="M5">
        <v>0</v>
      </c>
      <c r="N5">
        <v>8.4697648379999997</v>
      </c>
      <c r="O5">
        <v>2.9396843289999999</v>
      </c>
      <c r="P5">
        <v>18.613888889999998</v>
      </c>
      <c r="Q5">
        <v>6.9377777780000001</v>
      </c>
      <c r="R5">
        <v>13.72722222</v>
      </c>
      <c r="S5">
        <v>0</v>
      </c>
      <c r="T5">
        <v>0</v>
      </c>
      <c r="U5">
        <v>8.6986377539999999</v>
      </c>
      <c r="V5">
        <v>9.2691666670000004</v>
      </c>
      <c r="W5">
        <v>0</v>
      </c>
      <c r="X5">
        <v>12.94456825</v>
      </c>
      <c r="Y5">
        <v>0</v>
      </c>
      <c r="Z5">
        <v>9.5501720179999996</v>
      </c>
      <c r="AB5">
        <v>12.8256753</v>
      </c>
      <c r="AC5">
        <v>10.32453119</v>
      </c>
      <c r="AD5">
        <v>0</v>
      </c>
      <c r="AE5">
        <v>21.478877149999999</v>
      </c>
      <c r="AF5">
        <v>0</v>
      </c>
      <c r="AG5">
        <v>18.19786809</v>
      </c>
      <c r="AH5">
        <v>1.4248402330000001</v>
      </c>
      <c r="AI5">
        <v>11.93444444</v>
      </c>
      <c r="AJ5">
        <v>41.268190689999997</v>
      </c>
      <c r="AK5">
        <v>1.440767519</v>
      </c>
      <c r="AL5">
        <v>10.53908206</v>
      </c>
      <c r="AM5">
        <v>0</v>
      </c>
      <c r="AN5">
        <v>0</v>
      </c>
      <c r="AO5">
        <v>0</v>
      </c>
      <c r="AP5">
        <v>0</v>
      </c>
      <c r="AQ5">
        <v>13.83527778</v>
      </c>
      <c r="AR5">
        <v>15.96661102</v>
      </c>
      <c r="AS5">
        <v>0</v>
      </c>
      <c r="AT5">
        <v>0</v>
      </c>
      <c r="AU5">
        <v>0.95496246900000004</v>
      </c>
      <c r="AV5">
        <v>18.441323690000001</v>
      </c>
      <c r="AW5">
        <v>10.458888890000001</v>
      </c>
      <c r="AY5">
        <v>13.72194444</v>
      </c>
      <c r="AZ5">
        <v>10.735482080000001</v>
      </c>
      <c r="BA5">
        <v>2.1863888889999998</v>
      </c>
      <c r="BB5">
        <v>5.3603876000000002E-2</v>
      </c>
      <c r="BC5">
        <v>0</v>
      </c>
      <c r="BD5">
        <v>48.122613370000003</v>
      </c>
      <c r="BE5">
        <v>12.25544389</v>
      </c>
      <c r="BF5">
        <v>25.225097380000001</v>
      </c>
      <c r="BG5">
        <v>0</v>
      </c>
      <c r="BH5">
        <v>0</v>
      </c>
      <c r="BI5">
        <v>0</v>
      </c>
      <c r="BJ5">
        <v>54.968078929999997</v>
      </c>
      <c r="BK5">
        <v>13.188346879999999</v>
      </c>
      <c r="BL5">
        <v>0</v>
      </c>
      <c r="BM5">
        <v>0</v>
      </c>
      <c r="BN5">
        <v>3.9902777779999998</v>
      </c>
      <c r="BO5">
        <v>0</v>
      </c>
      <c r="BP5">
        <v>21.478333330000002</v>
      </c>
      <c r="BQ5">
        <v>0</v>
      </c>
      <c r="BR5">
        <v>1.425</v>
      </c>
      <c r="BS5">
        <v>18.19786809</v>
      </c>
      <c r="BT5">
        <v>11.93444444</v>
      </c>
      <c r="BU5">
        <v>12.455277779999999</v>
      </c>
      <c r="BV5">
        <v>41.265499030000001</v>
      </c>
      <c r="BW5">
        <v>10.37972222</v>
      </c>
      <c r="BX5">
        <v>1.4391666670000001</v>
      </c>
      <c r="BY5">
        <v>29.37621562</v>
      </c>
      <c r="BZ5">
        <v>10.538888890000001</v>
      </c>
      <c r="CA5">
        <v>16.215795329999999</v>
      </c>
      <c r="CB5">
        <v>11.763201779999999</v>
      </c>
      <c r="CC5">
        <v>0</v>
      </c>
      <c r="CD5">
        <v>0</v>
      </c>
      <c r="CE5">
        <v>26.686666670000001</v>
      </c>
      <c r="CF5">
        <v>10.19083333</v>
      </c>
      <c r="CG5">
        <v>0.95472222200000001</v>
      </c>
      <c r="CH5">
        <v>13.72194444</v>
      </c>
      <c r="CI5">
        <v>10.735482080000001</v>
      </c>
      <c r="CJ5">
        <v>2.1863888889999998</v>
      </c>
      <c r="CK5" s="1" t="s">
        <v>11</v>
      </c>
      <c r="CL5" s="1">
        <f t="shared" ref="CL5" si="3">AVERAGE(B5:CJ5)</f>
        <v>9.165259063036757</v>
      </c>
      <c r="CM5" s="1">
        <f t="shared" si="1"/>
        <v>11.160098445043181</v>
      </c>
      <c r="CN5" s="1">
        <f t="shared" si="2"/>
        <v>1.2104826324922451</v>
      </c>
    </row>
    <row r="6" spans="1:97" x14ac:dyDescent="0.25">
      <c r="A6">
        <v>3</v>
      </c>
      <c r="B6">
        <v>14.2688536953242</v>
      </c>
      <c r="C6">
        <v>14.7539787798408</v>
      </c>
      <c r="D6">
        <v>9.4794330183435207</v>
      </c>
      <c r="E6">
        <v>7.2756598240469197</v>
      </c>
      <c r="F6">
        <v>2.0297222222222202</v>
      </c>
      <c r="G6">
        <v>2.0297222222222202</v>
      </c>
      <c r="H6">
        <v>0</v>
      </c>
      <c r="I6">
        <v>8.1831848550000004</v>
      </c>
      <c r="J6">
        <v>6.7694444440000003</v>
      </c>
      <c r="K6">
        <v>1.7598402740000001</v>
      </c>
      <c r="L6">
        <v>0</v>
      </c>
      <c r="M6">
        <v>0</v>
      </c>
      <c r="N6">
        <v>5.8841666669999997</v>
      </c>
      <c r="O6">
        <v>5.2793995000000002</v>
      </c>
      <c r="P6">
        <v>2.2830561039999999</v>
      </c>
      <c r="Q6">
        <v>0.77508361199999998</v>
      </c>
      <c r="R6">
        <v>15.71460362</v>
      </c>
      <c r="S6">
        <v>0</v>
      </c>
      <c r="T6">
        <v>0.71166666700000003</v>
      </c>
      <c r="U6">
        <v>6.1991666670000001</v>
      </c>
      <c r="V6">
        <v>8.0522222219999993</v>
      </c>
      <c r="W6">
        <v>0</v>
      </c>
      <c r="X6">
        <v>8.9966601730000004</v>
      </c>
      <c r="Y6">
        <v>0</v>
      </c>
      <c r="Z6">
        <v>12.34980494</v>
      </c>
      <c r="AB6">
        <v>11.960713289999999</v>
      </c>
      <c r="AC6">
        <v>7.2427745659999996</v>
      </c>
      <c r="AD6">
        <v>0</v>
      </c>
      <c r="AE6">
        <v>14.109318500000001</v>
      </c>
      <c r="AF6">
        <v>4.4650709710000003</v>
      </c>
      <c r="AH6">
        <v>0</v>
      </c>
      <c r="AI6">
        <v>6.1413888889999999</v>
      </c>
      <c r="AJ6">
        <v>32.220367279999998</v>
      </c>
      <c r="AK6">
        <v>33.618849040000001</v>
      </c>
      <c r="AL6">
        <v>11.24958217</v>
      </c>
      <c r="AM6">
        <v>0</v>
      </c>
      <c r="AN6">
        <v>0</v>
      </c>
      <c r="AO6">
        <v>0</v>
      </c>
      <c r="AP6">
        <v>0</v>
      </c>
      <c r="AQ6">
        <v>13.97638233</v>
      </c>
      <c r="AR6">
        <v>14.97237569</v>
      </c>
      <c r="AS6">
        <v>0</v>
      </c>
      <c r="AT6">
        <v>0</v>
      </c>
      <c r="AU6">
        <v>3.2486801889999999</v>
      </c>
      <c r="AV6">
        <v>15.68890742</v>
      </c>
      <c r="AW6">
        <v>10.40088963</v>
      </c>
      <c r="AY6">
        <v>8.5611111110000007</v>
      </c>
      <c r="AZ6">
        <v>11.955215580000001</v>
      </c>
      <c r="BA6">
        <v>6.6230555559999997</v>
      </c>
      <c r="BB6">
        <v>5.2838204280000003</v>
      </c>
      <c r="BC6">
        <v>0</v>
      </c>
      <c r="BD6">
        <v>34.483879930000001</v>
      </c>
      <c r="BE6">
        <v>10.05874126</v>
      </c>
      <c r="BF6">
        <v>19.94442901</v>
      </c>
      <c r="BG6">
        <v>0</v>
      </c>
      <c r="BH6">
        <v>0</v>
      </c>
      <c r="BI6">
        <v>0</v>
      </c>
      <c r="BL6">
        <v>1.4722222E-2</v>
      </c>
      <c r="BM6">
        <v>0</v>
      </c>
      <c r="BN6">
        <v>5.0828007780000002</v>
      </c>
      <c r="BO6">
        <v>1.3955555559999999</v>
      </c>
      <c r="BP6">
        <v>14.1075</v>
      </c>
      <c r="BQ6">
        <v>4.46</v>
      </c>
      <c r="BR6">
        <v>0</v>
      </c>
      <c r="BT6">
        <v>6.1413888889999999</v>
      </c>
      <c r="BU6">
        <v>8.0105555559999999</v>
      </c>
      <c r="BV6">
        <v>32.215000000000003</v>
      </c>
      <c r="BW6">
        <v>2.804667963</v>
      </c>
      <c r="BX6">
        <v>33.615833330000001</v>
      </c>
      <c r="BY6">
        <v>3.9710870169999999</v>
      </c>
      <c r="BZ6">
        <v>11.24944444</v>
      </c>
      <c r="CA6">
        <v>19.444444440000002</v>
      </c>
      <c r="CB6">
        <v>14.79899917</v>
      </c>
      <c r="CC6">
        <v>0</v>
      </c>
      <c r="CD6">
        <v>31.24729091</v>
      </c>
      <c r="CE6">
        <v>34.728055560000001</v>
      </c>
      <c r="CF6">
        <v>23.227499999999999</v>
      </c>
      <c r="CG6">
        <v>3.2484023340000001</v>
      </c>
      <c r="CH6">
        <v>8.5612670190000006</v>
      </c>
      <c r="CI6">
        <v>11.955265349999999</v>
      </c>
      <c r="CJ6">
        <v>6.623228675</v>
      </c>
      <c r="CK6" s="1" t="s">
        <v>8</v>
      </c>
      <c r="CL6" s="1">
        <f>AVERAGE(B6,C6,D20,E6,F13,G13,H9,I16,J8,K21,L13,M14,N15,O12,P20,Q12,R16,S9,T12,U12,V12,W11,X7,Y8,Z6,AB8,AD11,AC7,AE8,AF10,AG5,AH8,AI9,AJ11,AK10,AL9,AM13,AN11,AO11,AP7,AQ7,AR6,AS9,AT13,AU10,AV10,AW22,AY10,AZ10,BA12,BB17,BC8,BD7,BE17,BF11,BG7,BH19,BI10,BJ5,BK5,BL9,BM9,BN14,BO12,BP8,BQ10,BR8,BS5,BT9,BU11,BV11,BW13,BX10,BY17,BZ9,CA21,CB12,CC12,CD12,CE15,CF8,CG10,CH10,CI11,CJ12)</f>
        <v>10.049925048517625</v>
      </c>
      <c r="CM6" s="1">
        <f>STDEV(B6,C6,D20,E6,F13,G13,H9,I16,J8,K21,L13,M14,N15,O12,P20,Q12,R16,S9,T12,U12,V12,W11,X7,Y8,Z6,AB8,AD11,AC7,AE8,AF10,AG5,AH8,AI9,AJ11,AK10,AL9,AM13,AN11,AO11,AP7,AQ7,AR6,AS9,AT13,AU10,AV10,AW22,AY10,AZ10,BA12,BB17,BC8,BD7,BE17,BF11,BG7,BH19,BI10,BJ5,BK5,BL9,BM9,BN14,BO12,BP8,BQ10,BR8,BS5,BT9,BU11,BV11,BW13,BX10,BY17,BZ9,CA21,CB12,CC12,CD12,CE15,CF8,CG10,CH10,CI11,CJ12)</f>
        <v>11.035851462986152</v>
      </c>
      <c r="CN6" s="1">
        <f t="shared" si="2"/>
        <v>1.2262057181095725</v>
      </c>
    </row>
    <row r="7" spans="1:97" x14ac:dyDescent="0.25">
      <c r="A7">
        <v>4</v>
      </c>
      <c r="D7">
        <v>12.045846068352301</v>
      </c>
      <c r="F7">
        <v>0</v>
      </c>
      <c r="G7">
        <v>0</v>
      </c>
      <c r="H7">
        <v>0</v>
      </c>
      <c r="I7">
        <v>8.6057906460000009</v>
      </c>
      <c r="J7">
        <v>7.98</v>
      </c>
      <c r="K7">
        <v>0</v>
      </c>
      <c r="L7">
        <v>0</v>
      </c>
      <c r="M7">
        <v>0</v>
      </c>
      <c r="N7">
        <v>9.7304250559999996</v>
      </c>
      <c r="O7">
        <v>9.2895839149999997</v>
      </c>
      <c r="P7">
        <v>0</v>
      </c>
      <c r="Q7">
        <v>1.363585434</v>
      </c>
      <c r="R7">
        <v>14.12931034</v>
      </c>
      <c r="S7">
        <v>0</v>
      </c>
      <c r="T7">
        <v>5.8286111109999998</v>
      </c>
      <c r="U7">
        <v>5.9680377990000002</v>
      </c>
      <c r="V7">
        <v>3.8480555559999998</v>
      </c>
      <c r="W7">
        <v>0</v>
      </c>
      <c r="X7">
        <v>8.8485523389999994</v>
      </c>
      <c r="Y7">
        <v>0</v>
      </c>
      <c r="AB7">
        <v>11.91357681</v>
      </c>
      <c r="AC7">
        <v>5.6289855070000003</v>
      </c>
      <c r="AD7">
        <v>0</v>
      </c>
      <c r="AE7">
        <v>16.010842369999999</v>
      </c>
      <c r="AF7">
        <v>11.14496383</v>
      </c>
      <c r="AH7">
        <v>2.85265499</v>
      </c>
      <c r="AI7">
        <v>6.0588888890000003</v>
      </c>
      <c r="AJ7">
        <v>26.71631009</v>
      </c>
      <c r="AK7">
        <v>33.0180857</v>
      </c>
      <c r="AL7">
        <v>13.83328695</v>
      </c>
      <c r="AM7">
        <v>0</v>
      </c>
      <c r="AN7">
        <v>0</v>
      </c>
      <c r="AO7">
        <v>0</v>
      </c>
      <c r="AP7">
        <v>0</v>
      </c>
      <c r="AQ7">
        <v>0.85634898599999998</v>
      </c>
      <c r="AS7">
        <v>0</v>
      </c>
      <c r="AT7">
        <v>0</v>
      </c>
      <c r="AU7">
        <v>4.5097222219999997</v>
      </c>
      <c r="AV7">
        <v>17.931590660000001</v>
      </c>
      <c r="AW7">
        <v>9.8876841809999991</v>
      </c>
      <c r="AY7">
        <v>7.9780555560000002</v>
      </c>
      <c r="AZ7">
        <v>14.320534220000001</v>
      </c>
      <c r="BA7">
        <v>5.3319444440000003</v>
      </c>
      <c r="BB7">
        <v>8.5425078190000008</v>
      </c>
      <c r="BC7">
        <v>0</v>
      </c>
      <c r="BD7">
        <v>29.533570999999998</v>
      </c>
      <c r="BE7">
        <v>10.54961615</v>
      </c>
      <c r="BF7">
        <v>18.74082314</v>
      </c>
      <c r="BG7">
        <v>0</v>
      </c>
      <c r="BH7">
        <v>0</v>
      </c>
      <c r="BI7">
        <v>0</v>
      </c>
      <c r="BL7">
        <v>2.7863888889999999</v>
      </c>
      <c r="BM7">
        <v>0</v>
      </c>
      <c r="BN7">
        <v>4.579166667</v>
      </c>
      <c r="BO7">
        <v>18.62194444</v>
      </c>
      <c r="BP7">
        <v>16.010000000000002</v>
      </c>
      <c r="BQ7">
        <v>11.143651009999999</v>
      </c>
      <c r="BR7">
        <v>2.8530555560000002</v>
      </c>
      <c r="BT7">
        <v>6.0588888890000003</v>
      </c>
      <c r="BU7">
        <v>4.4711111109999999</v>
      </c>
      <c r="BV7">
        <v>26.71611111</v>
      </c>
      <c r="BW7">
        <v>2.3214781879999999</v>
      </c>
      <c r="BX7">
        <v>33.016666669999999</v>
      </c>
      <c r="BY7">
        <v>9.5563888890000008</v>
      </c>
      <c r="BZ7">
        <v>13.833888890000001</v>
      </c>
      <c r="CA7">
        <v>11.19949986</v>
      </c>
      <c r="CB7">
        <v>10.95332037</v>
      </c>
      <c r="CC7">
        <v>0</v>
      </c>
      <c r="CD7">
        <v>58.734722220000002</v>
      </c>
      <c r="CE7">
        <v>19.910833329999999</v>
      </c>
      <c r="CF7">
        <v>16.109752709999999</v>
      </c>
      <c r="CG7">
        <v>4.509308141</v>
      </c>
      <c r="CH7">
        <v>7.9780555560000002</v>
      </c>
      <c r="CI7">
        <v>14.32036677</v>
      </c>
      <c r="CJ7">
        <v>5.3319444440000003</v>
      </c>
    </row>
    <row r="8" spans="1:97" x14ac:dyDescent="0.25">
      <c r="A8">
        <v>5</v>
      </c>
      <c r="D8">
        <v>13.0597388163378</v>
      </c>
      <c r="F8">
        <v>0</v>
      </c>
      <c r="G8">
        <v>0</v>
      </c>
      <c r="H8">
        <v>0</v>
      </c>
      <c r="I8">
        <v>7.8184855229999997</v>
      </c>
      <c r="J8">
        <v>6.5832282470000001</v>
      </c>
      <c r="K8">
        <v>4.0931239850000001</v>
      </c>
      <c r="L8">
        <v>0.69502363099999998</v>
      </c>
      <c r="M8">
        <v>0</v>
      </c>
      <c r="N8">
        <v>31.675397050000001</v>
      </c>
      <c r="O8">
        <v>6.8629413399999999</v>
      </c>
      <c r="P8">
        <v>0</v>
      </c>
      <c r="Q8">
        <v>5.7595992999999998E-2</v>
      </c>
      <c r="R8">
        <v>9.7478454269999997</v>
      </c>
      <c r="S8">
        <v>0</v>
      </c>
      <c r="T8">
        <v>5.4041666670000001</v>
      </c>
      <c r="U8">
        <v>27.745762710000001</v>
      </c>
      <c r="V8">
        <v>0</v>
      </c>
      <c r="W8">
        <v>0</v>
      </c>
      <c r="Y8">
        <v>0</v>
      </c>
      <c r="AB8">
        <v>11.525072890000001</v>
      </c>
      <c r="AD8">
        <v>0</v>
      </c>
      <c r="AE8">
        <v>14.31552918</v>
      </c>
      <c r="AF8">
        <v>3.5451002229999999</v>
      </c>
      <c r="AH8">
        <v>11.54833333</v>
      </c>
      <c r="AI8">
        <v>5.4519444439999996</v>
      </c>
      <c r="AJ8">
        <v>26.967213109999999</v>
      </c>
      <c r="AK8">
        <v>28.983533349999998</v>
      </c>
      <c r="AL8">
        <v>20.471897609999999</v>
      </c>
      <c r="AM8">
        <v>0</v>
      </c>
      <c r="AN8">
        <v>0</v>
      </c>
      <c r="AO8">
        <v>0</v>
      </c>
      <c r="AS8">
        <v>0</v>
      </c>
      <c r="AT8">
        <v>1.021111111</v>
      </c>
      <c r="AU8">
        <v>5.8356964140000001</v>
      </c>
      <c r="AV8">
        <v>14.28468168</v>
      </c>
      <c r="AW8">
        <v>9.9522089470000008</v>
      </c>
      <c r="AY8">
        <v>7.4472222219999997</v>
      </c>
      <c r="AZ8">
        <v>11.057349670000001</v>
      </c>
      <c r="BA8">
        <v>4.1102777780000004</v>
      </c>
      <c r="BB8">
        <v>20.487895720000001</v>
      </c>
      <c r="BC8">
        <v>0</v>
      </c>
      <c r="BE8">
        <v>9.2379627049999993</v>
      </c>
      <c r="BF8">
        <v>19.430914649999998</v>
      </c>
      <c r="BH8">
        <v>0</v>
      </c>
      <c r="BI8">
        <v>0</v>
      </c>
      <c r="BL8">
        <v>2.1855555560000002</v>
      </c>
      <c r="BM8">
        <v>0</v>
      </c>
      <c r="BN8">
        <v>4.8991924259999999</v>
      </c>
      <c r="BO8">
        <v>20.485277780000001</v>
      </c>
      <c r="BP8">
        <v>14.31552918</v>
      </c>
      <c r="BQ8">
        <v>3.542777778</v>
      </c>
      <c r="BR8">
        <v>11.54833333</v>
      </c>
      <c r="BT8">
        <v>5.4519444439999996</v>
      </c>
      <c r="BU8">
        <v>4.0988888890000004</v>
      </c>
      <c r="BV8">
        <v>26.96722222</v>
      </c>
      <c r="BW8">
        <v>3.44</v>
      </c>
      <c r="BX8">
        <v>28.983888889999999</v>
      </c>
      <c r="BY8">
        <v>0.73166666700000005</v>
      </c>
      <c r="BZ8">
        <v>20.473055559999999</v>
      </c>
      <c r="CA8">
        <v>11.89805556</v>
      </c>
      <c r="CB8">
        <v>13.48206839</v>
      </c>
      <c r="CC8">
        <v>0</v>
      </c>
      <c r="CD8">
        <v>50.00444444</v>
      </c>
      <c r="CE8">
        <v>0.88302306200000003</v>
      </c>
      <c r="CF8">
        <v>15.446204010000001</v>
      </c>
      <c r="CG8">
        <v>5.8358333330000001</v>
      </c>
      <c r="CH8">
        <v>7.4472222219999997</v>
      </c>
      <c r="CI8">
        <v>11.057317749999999</v>
      </c>
      <c r="CJ8">
        <v>4.1102777780000004</v>
      </c>
    </row>
    <row r="9" spans="1:97" x14ac:dyDescent="0.25">
      <c r="A9">
        <v>6</v>
      </c>
      <c r="D9">
        <v>12.947562358276601</v>
      </c>
      <c r="F9">
        <v>0</v>
      </c>
      <c r="G9">
        <v>0</v>
      </c>
      <c r="H9">
        <v>0</v>
      </c>
      <c r="I9">
        <v>7.7087162349999998</v>
      </c>
      <c r="K9">
        <v>6.8272222219999996</v>
      </c>
      <c r="L9">
        <v>1.696463381</v>
      </c>
      <c r="M9">
        <v>0.809232481</v>
      </c>
      <c r="N9">
        <v>64.650890869999998</v>
      </c>
      <c r="O9">
        <v>15.092499999999999</v>
      </c>
      <c r="P9">
        <v>0</v>
      </c>
      <c r="Q9">
        <v>2.7577104750000001</v>
      </c>
      <c r="R9">
        <v>0.44855394900000001</v>
      </c>
      <c r="S9">
        <v>13.205</v>
      </c>
      <c r="T9">
        <v>3.2191666670000001</v>
      </c>
      <c r="U9">
        <v>15.36919655</v>
      </c>
      <c r="V9">
        <v>8.1719444439999993</v>
      </c>
      <c r="W9">
        <v>0</v>
      </c>
      <c r="AD9">
        <v>0</v>
      </c>
      <c r="AF9">
        <v>9.5280867629999992</v>
      </c>
      <c r="AH9">
        <v>13.974169740000001</v>
      </c>
      <c r="AI9">
        <v>7.9898181819999996</v>
      </c>
      <c r="AJ9">
        <v>27.83838665</v>
      </c>
      <c r="AK9">
        <v>28.087997770000001</v>
      </c>
      <c r="AL9">
        <v>24.515418499999999</v>
      </c>
      <c r="AM9">
        <v>0</v>
      </c>
      <c r="AN9">
        <v>0</v>
      </c>
      <c r="AO9">
        <v>0</v>
      </c>
      <c r="AS9">
        <v>0</v>
      </c>
      <c r="AT9">
        <v>0.48193440799999998</v>
      </c>
      <c r="AU9">
        <v>6.966082847</v>
      </c>
      <c r="AV9">
        <v>12.696498050000001</v>
      </c>
      <c r="AW9">
        <v>10.31915485</v>
      </c>
      <c r="AY9">
        <v>7.1169444439999996</v>
      </c>
      <c r="AZ9">
        <v>9.7023942089999995</v>
      </c>
      <c r="BA9">
        <v>5.6852777779999997</v>
      </c>
      <c r="BB9">
        <v>21.695</v>
      </c>
      <c r="BE9">
        <v>8.0938809719999991</v>
      </c>
      <c r="BF9">
        <v>20.522790440000001</v>
      </c>
      <c r="BH9">
        <v>0</v>
      </c>
      <c r="BI9">
        <v>0</v>
      </c>
      <c r="BL9">
        <v>1.9984472049999999</v>
      </c>
      <c r="BM9">
        <v>0</v>
      </c>
      <c r="BN9">
        <v>6.0594774869999997</v>
      </c>
      <c r="BO9">
        <v>18.554722219999999</v>
      </c>
      <c r="BQ9">
        <v>9.5288888889999992</v>
      </c>
      <c r="BR9">
        <v>13.97421731</v>
      </c>
      <c r="BT9">
        <v>7.9898181819999996</v>
      </c>
      <c r="BU9">
        <v>5.1902777779999996</v>
      </c>
      <c r="BV9">
        <v>27.83838665</v>
      </c>
      <c r="BW9">
        <v>3.5833333330000001</v>
      </c>
      <c r="BX9">
        <v>28.08777778</v>
      </c>
      <c r="BY9">
        <v>7.2948041119999996</v>
      </c>
      <c r="BZ9">
        <v>24.51481888</v>
      </c>
      <c r="CA9">
        <v>10.088055560000001</v>
      </c>
      <c r="CB9">
        <v>13.730052819999999</v>
      </c>
      <c r="CC9">
        <v>0</v>
      </c>
      <c r="CD9">
        <v>47.148888890000002</v>
      </c>
      <c r="CE9">
        <v>14.10638889</v>
      </c>
      <c r="CG9">
        <v>6.9663888890000001</v>
      </c>
      <c r="CH9">
        <v>7.1169444439999996</v>
      </c>
      <c r="CI9">
        <v>9.7022815799999993</v>
      </c>
      <c r="CJ9">
        <v>5.6852777779999997</v>
      </c>
    </row>
    <row r="10" spans="1:97" x14ac:dyDescent="0.25">
      <c r="A10">
        <v>7</v>
      </c>
      <c r="D10">
        <v>12.881045025013799</v>
      </c>
      <c r="F10">
        <v>0</v>
      </c>
      <c r="G10">
        <v>0</v>
      </c>
      <c r="I10">
        <v>8.2132107019999996</v>
      </c>
      <c r="K10">
        <v>4.8005555559999999</v>
      </c>
      <c r="L10">
        <v>1.4707194649999999</v>
      </c>
      <c r="M10">
        <v>1.6776974419999999</v>
      </c>
      <c r="N10">
        <v>65</v>
      </c>
      <c r="O10">
        <v>25.83504868</v>
      </c>
      <c r="P10">
        <v>0</v>
      </c>
      <c r="Q10">
        <v>2.178959087</v>
      </c>
      <c r="R10">
        <v>0</v>
      </c>
      <c r="T10">
        <v>4.5688888890000001</v>
      </c>
      <c r="U10">
        <v>12.948304609999999</v>
      </c>
      <c r="V10">
        <v>15.945833329999999</v>
      </c>
      <c r="W10">
        <v>0</v>
      </c>
      <c r="AD10">
        <v>0.210436756</v>
      </c>
      <c r="AF10">
        <v>11.210084030000001</v>
      </c>
      <c r="AJ10">
        <v>26.56522949</v>
      </c>
      <c r="AK10">
        <v>24.720638900000001</v>
      </c>
      <c r="AM10">
        <v>0</v>
      </c>
      <c r="AN10">
        <v>0</v>
      </c>
      <c r="AO10">
        <v>0</v>
      </c>
      <c r="AT10">
        <v>0</v>
      </c>
      <c r="AU10">
        <v>7.0965867830000002</v>
      </c>
      <c r="AV10">
        <v>12.491180979999999</v>
      </c>
      <c r="AW10">
        <v>11.077008620000001</v>
      </c>
      <c r="AY10">
        <v>6.3462846040000001</v>
      </c>
      <c r="AZ10">
        <v>9.543302701</v>
      </c>
      <c r="BA10">
        <v>5.7577104749999997</v>
      </c>
      <c r="BB10">
        <v>21.17777778</v>
      </c>
      <c r="BE10">
        <v>6.6265397540000004</v>
      </c>
      <c r="BF10">
        <v>18.603563470000001</v>
      </c>
      <c r="BH10">
        <v>0</v>
      </c>
      <c r="BI10">
        <v>0</v>
      </c>
      <c r="BN10">
        <v>6.6888888890000002</v>
      </c>
      <c r="BO10">
        <v>17.716944439999999</v>
      </c>
      <c r="BQ10">
        <v>11.209205020000001</v>
      </c>
      <c r="BU10">
        <v>8.9786111109999993</v>
      </c>
      <c r="BV10">
        <v>26.564601280000002</v>
      </c>
      <c r="BW10">
        <v>2.1558333329999999</v>
      </c>
      <c r="BX10">
        <v>24.721075670000001</v>
      </c>
      <c r="BY10">
        <v>8.7563888890000001</v>
      </c>
      <c r="CA10">
        <v>11.01694915</v>
      </c>
      <c r="CB10">
        <v>13.64470392</v>
      </c>
      <c r="CC10">
        <v>0</v>
      </c>
      <c r="CD10">
        <v>43.309894389999997</v>
      </c>
      <c r="CE10">
        <v>20.32222222</v>
      </c>
      <c r="CG10">
        <v>7.0965867830000002</v>
      </c>
      <c r="CH10">
        <v>6.346452867</v>
      </c>
      <c r="CI10">
        <v>9.5434056760000008</v>
      </c>
      <c r="CJ10">
        <v>5.757365203</v>
      </c>
    </row>
    <row r="11" spans="1:97" x14ac:dyDescent="0.25">
      <c r="A11">
        <v>8</v>
      </c>
      <c r="D11">
        <v>11.881878821567501</v>
      </c>
      <c r="F11">
        <v>0</v>
      </c>
      <c r="G11">
        <v>0</v>
      </c>
      <c r="I11">
        <v>8.6778056249999995</v>
      </c>
      <c r="K11">
        <v>2.1549999999999998</v>
      </c>
      <c r="L11">
        <v>1.5601890460000001</v>
      </c>
      <c r="M11">
        <v>1.3809788650000001</v>
      </c>
      <c r="N11">
        <v>65</v>
      </c>
      <c r="O11">
        <v>19.07478454</v>
      </c>
      <c r="P11">
        <v>0</v>
      </c>
      <c r="Q11">
        <v>2.8949416339999998</v>
      </c>
      <c r="R11">
        <v>0</v>
      </c>
      <c r="T11">
        <v>3.3888888999999998E-2</v>
      </c>
      <c r="U11">
        <v>1.001118256</v>
      </c>
      <c r="V11">
        <v>7.3330555559999997</v>
      </c>
      <c r="W11">
        <v>0</v>
      </c>
      <c r="AD11">
        <v>2.319205298</v>
      </c>
      <c r="AJ11">
        <v>25.702247190000001</v>
      </c>
      <c r="AM11">
        <v>0</v>
      </c>
      <c r="AN11">
        <v>0</v>
      </c>
      <c r="AO11">
        <v>0</v>
      </c>
      <c r="AT11">
        <v>5.327773144</v>
      </c>
      <c r="AW11">
        <v>12.320345120000001</v>
      </c>
      <c r="AZ11">
        <v>9.9937810949999992</v>
      </c>
      <c r="BA11">
        <v>4.5930880710000004</v>
      </c>
      <c r="BB11">
        <v>20.807446509999998</v>
      </c>
      <c r="BE11">
        <v>7.8830210110000003</v>
      </c>
      <c r="BF11">
        <v>16.220170450000001</v>
      </c>
      <c r="BH11">
        <v>0</v>
      </c>
      <c r="BN11">
        <v>6.3323145319999998</v>
      </c>
      <c r="BO11">
        <v>17.77111111</v>
      </c>
      <c r="BU11">
        <v>10.126959729999999</v>
      </c>
      <c r="BV11">
        <v>25.702247190000001</v>
      </c>
      <c r="BW11">
        <v>2.7404834679999999</v>
      </c>
      <c r="BY11">
        <v>9.1605555560000003</v>
      </c>
      <c r="CA11">
        <v>11</v>
      </c>
      <c r="CB11">
        <v>15.679911089999999</v>
      </c>
      <c r="CC11">
        <v>0</v>
      </c>
      <c r="CD11">
        <v>31.87805556</v>
      </c>
      <c r="CE11">
        <v>16.617393719999999</v>
      </c>
      <c r="CI11">
        <v>9.9937810949999992</v>
      </c>
      <c r="CJ11">
        <v>4.5923867740000004</v>
      </c>
    </row>
    <row r="12" spans="1:97" x14ac:dyDescent="0.25">
      <c r="A12">
        <v>9</v>
      </c>
      <c r="D12">
        <v>12.3007226236798</v>
      </c>
      <c r="F12">
        <v>0</v>
      </c>
      <c r="G12">
        <v>0</v>
      </c>
      <c r="I12">
        <v>8.4714564190000008</v>
      </c>
      <c r="K12">
        <v>0</v>
      </c>
      <c r="L12">
        <v>1.2257436749999999</v>
      </c>
      <c r="M12">
        <v>0.84185658699999999</v>
      </c>
      <c r="N12">
        <v>64.998328689999994</v>
      </c>
      <c r="O12">
        <v>15.0640327</v>
      </c>
      <c r="P12">
        <v>0</v>
      </c>
      <c r="Q12">
        <v>0</v>
      </c>
      <c r="R12">
        <v>1.05725403</v>
      </c>
      <c r="T12">
        <v>0</v>
      </c>
      <c r="U12">
        <v>1.8480392160000001</v>
      </c>
      <c r="V12">
        <v>5.5824686940000001</v>
      </c>
      <c r="AM12">
        <v>0</v>
      </c>
      <c r="AN12">
        <v>0</v>
      </c>
      <c r="AO12">
        <v>0</v>
      </c>
      <c r="AT12">
        <v>13.323504870000001</v>
      </c>
      <c r="AW12">
        <v>12.60083449</v>
      </c>
      <c r="BA12">
        <v>3.9966044140000001</v>
      </c>
      <c r="BB12">
        <v>28.80466796</v>
      </c>
      <c r="BE12">
        <v>8.514848658</v>
      </c>
      <c r="BH12">
        <v>0</v>
      </c>
      <c r="BN12">
        <v>6.7963323149999999</v>
      </c>
      <c r="BO12">
        <v>19.129496400000001</v>
      </c>
      <c r="BW12">
        <v>1.270075021</v>
      </c>
      <c r="BY12">
        <v>9</v>
      </c>
      <c r="CA12">
        <v>11.38666667</v>
      </c>
      <c r="CB12">
        <v>13.96526055</v>
      </c>
      <c r="CC12">
        <v>0</v>
      </c>
      <c r="CD12">
        <v>24.048722990000002</v>
      </c>
      <c r="CE12">
        <v>15.20055556</v>
      </c>
      <c r="CJ12">
        <v>3.9966072939999999</v>
      </c>
    </row>
    <row r="13" spans="1:97" x14ac:dyDescent="0.25">
      <c r="A13">
        <v>10</v>
      </c>
      <c r="D13">
        <v>11.2615341856587</v>
      </c>
      <c r="F13">
        <v>0</v>
      </c>
      <c r="G13">
        <v>0</v>
      </c>
      <c r="I13">
        <v>9</v>
      </c>
      <c r="K13">
        <v>0</v>
      </c>
      <c r="L13">
        <v>0.99964887599999996</v>
      </c>
      <c r="M13">
        <v>0</v>
      </c>
      <c r="N13">
        <v>58.86605402</v>
      </c>
      <c r="P13">
        <v>0</v>
      </c>
      <c r="R13">
        <v>9.241446453</v>
      </c>
      <c r="AM13">
        <v>0</v>
      </c>
      <c r="AT13">
        <v>2.519630485</v>
      </c>
      <c r="AW13">
        <v>13.247428409999999</v>
      </c>
      <c r="BB13">
        <v>25.36638889</v>
      </c>
      <c r="BE13">
        <v>8.1826867399999994</v>
      </c>
      <c r="BH13">
        <v>0</v>
      </c>
      <c r="BN13">
        <v>7.9636009999999997</v>
      </c>
      <c r="BW13">
        <v>2.9298339580000001</v>
      </c>
      <c r="BY13">
        <v>9.9080555560000008</v>
      </c>
      <c r="CA13">
        <v>9.3597222220000003</v>
      </c>
      <c r="CE13">
        <v>14.28388889</v>
      </c>
      <c r="CS13" t="s">
        <v>6</v>
      </c>
    </row>
    <row r="14" spans="1:97" x14ac:dyDescent="0.25">
      <c r="A14">
        <v>11</v>
      </c>
      <c r="D14">
        <v>9.3442714126807491</v>
      </c>
      <c r="I14">
        <v>8.7172760260000004</v>
      </c>
      <c r="K14">
        <v>0.82356210100000005</v>
      </c>
      <c r="M14">
        <v>0</v>
      </c>
      <c r="N14">
        <v>58.022568960000001</v>
      </c>
      <c r="P14">
        <v>0</v>
      </c>
      <c r="R14">
        <v>8.6758409790000002</v>
      </c>
      <c r="AM14">
        <v>0</v>
      </c>
      <c r="AW14">
        <v>13.924339359999999</v>
      </c>
      <c r="BB14">
        <v>15.05833333</v>
      </c>
      <c r="BE14">
        <v>6.1487371380000004</v>
      </c>
      <c r="BH14">
        <v>0</v>
      </c>
      <c r="BN14">
        <v>7.9643652559999998</v>
      </c>
      <c r="BY14">
        <v>10.188888889999999</v>
      </c>
      <c r="CA14">
        <v>8.4930555559999998</v>
      </c>
      <c r="CE14">
        <v>13.404444440000001</v>
      </c>
    </row>
    <row r="15" spans="1:97" x14ac:dyDescent="0.25">
      <c r="A15">
        <v>12</v>
      </c>
      <c r="D15">
        <v>9.8232351306281203</v>
      </c>
      <c r="I15">
        <v>6.3102199939999997</v>
      </c>
      <c r="K15">
        <v>6.6322957200000001</v>
      </c>
      <c r="N15">
        <v>56.37699877</v>
      </c>
      <c r="P15">
        <v>0</v>
      </c>
      <c r="R15">
        <v>13.74721913</v>
      </c>
      <c r="AW15">
        <v>15.055045870000001</v>
      </c>
      <c r="BB15">
        <v>7.8266666669999996</v>
      </c>
      <c r="BE15">
        <v>5.9622252749999998</v>
      </c>
      <c r="BH15">
        <v>0</v>
      </c>
      <c r="BY15">
        <v>9.0511111110000009</v>
      </c>
      <c r="CA15">
        <v>8.6702777780000009</v>
      </c>
      <c r="CE15">
        <v>12.905797099999999</v>
      </c>
    </row>
    <row r="16" spans="1:97" x14ac:dyDescent="0.25">
      <c r="A16">
        <v>13</v>
      </c>
      <c r="D16">
        <v>9.2854363535297306</v>
      </c>
      <c r="I16">
        <v>5.3044058740000004</v>
      </c>
      <c r="K16">
        <v>0</v>
      </c>
      <c r="P16">
        <v>0</v>
      </c>
      <c r="R16">
        <v>39.614050059999997</v>
      </c>
      <c r="AW16">
        <v>12.517653599999999</v>
      </c>
      <c r="BB16">
        <v>5.3554752639999998</v>
      </c>
      <c r="BE16">
        <v>5.995192308</v>
      </c>
      <c r="BH16">
        <v>0</v>
      </c>
      <c r="BY16">
        <v>9.2274999999999991</v>
      </c>
      <c r="CA16">
        <v>8.0594609609999992</v>
      </c>
    </row>
    <row r="17" spans="1:79" x14ac:dyDescent="0.25">
      <c r="A17">
        <v>14</v>
      </c>
      <c r="D17">
        <v>8.2074527252502705</v>
      </c>
      <c r="K17">
        <v>8.3217367E-2</v>
      </c>
      <c r="P17">
        <v>0</v>
      </c>
      <c r="AW17">
        <v>10.592551419999999</v>
      </c>
      <c r="BB17">
        <v>4.9864130429999998</v>
      </c>
      <c r="BE17">
        <v>5.0470508010000001</v>
      </c>
      <c r="BH17">
        <v>0</v>
      </c>
      <c r="BY17">
        <v>9.5644820300000006</v>
      </c>
      <c r="CA17">
        <v>8</v>
      </c>
    </row>
    <row r="18" spans="1:79" x14ac:dyDescent="0.25">
      <c r="A18">
        <v>15</v>
      </c>
      <c r="D18">
        <v>7.4794330183435198</v>
      </c>
      <c r="K18">
        <v>3.442061281</v>
      </c>
      <c r="P18">
        <v>0</v>
      </c>
      <c r="AW18">
        <v>9.1451209339999995</v>
      </c>
      <c r="BE18">
        <v>4.988399072</v>
      </c>
      <c r="BH18">
        <v>0</v>
      </c>
      <c r="CA18">
        <v>7.8027777780000003</v>
      </c>
    </row>
    <row r="19" spans="1:79" x14ac:dyDescent="0.25">
      <c r="A19">
        <v>16</v>
      </c>
      <c r="D19">
        <v>6.5404503753127603</v>
      </c>
      <c r="K19">
        <v>0.487451199</v>
      </c>
      <c r="P19">
        <v>0</v>
      </c>
      <c r="AW19">
        <v>8.8971541280000004</v>
      </c>
      <c r="BH19">
        <v>0</v>
      </c>
      <c r="CA19">
        <v>7.6685190329999999</v>
      </c>
    </row>
    <row r="20" spans="1:79" x14ac:dyDescent="0.25">
      <c r="A20">
        <v>17</v>
      </c>
      <c r="D20">
        <v>6.9319066147859898</v>
      </c>
      <c r="K20">
        <v>0.245682451</v>
      </c>
      <c r="P20">
        <v>0</v>
      </c>
      <c r="AW20">
        <v>8.4835507660000005</v>
      </c>
      <c r="CA20">
        <v>6.62</v>
      </c>
    </row>
    <row r="21" spans="1:79" x14ac:dyDescent="0.25">
      <c r="A21">
        <v>18</v>
      </c>
      <c r="K21">
        <v>3.4783382789999999</v>
      </c>
      <c r="AW21">
        <v>8.9755862509999993</v>
      </c>
      <c r="CA21">
        <v>8.6391111110000001</v>
      </c>
    </row>
    <row r="22" spans="1:79" x14ac:dyDescent="0.25">
      <c r="A22">
        <v>19</v>
      </c>
      <c r="AW22">
        <v>9.9685114499999994</v>
      </c>
    </row>
    <row r="23" spans="1:79" x14ac:dyDescent="0.25">
      <c r="A23">
        <v>20</v>
      </c>
    </row>
    <row r="24" spans="1:79" x14ac:dyDescent="0.25">
      <c r="A24">
        <v>21</v>
      </c>
    </row>
    <row r="25" spans="1:79" x14ac:dyDescent="0.25">
      <c r="A25">
        <v>22</v>
      </c>
    </row>
    <row r="26" spans="1:79" x14ac:dyDescent="0.25">
      <c r="A26">
        <v>23</v>
      </c>
    </row>
    <row r="27" spans="1:79" x14ac:dyDescent="0.25">
      <c r="A27">
        <v>24</v>
      </c>
    </row>
    <row r="1048576" spans="91:91" x14ac:dyDescent="0.25">
      <c r="CM1048576" t="e">
        <f>STDEV(C1048576:CL1048576)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48576"/>
  <sheetViews>
    <sheetView topLeftCell="CI1" workbookViewId="0">
      <selection activeCell="CK2" sqref="CK2:CN6"/>
    </sheetView>
  </sheetViews>
  <sheetFormatPr defaultRowHeight="15" x14ac:dyDescent="0.25"/>
  <sheetData>
    <row r="1" spans="1:97" x14ac:dyDescent="0.25">
      <c r="B1" t="s">
        <v>1</v>
      </c>
    </row>
    <row r="2" spans="1:97" x14ac:dyDescent="0.25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f t="shared" ref="AL2:CJ2" si="0">AK2+1</f>
        <v>37</v>
      </c>
      <c r="AM2">
        <f t="shared" si="0"/>
        <v>38</v>
      </c>
      <c r="AN2">
        <f t="shared" si="0"/>
        <v>39</v>
      </c>
      <c r="AO2">
        <f t="shared" si="0"/>
        <v>40</v>
      </c>
      <c r="AP2">
        <f t="shared" si="0"/>
        <v>41</v>
      </c>
      <c r="AQ2">
        <f t="shared" si="0"/>
        <v>42</v>
      </c>
      <c r="AR2">
        <f t="shared" si="0"/>
        <v>43</v>
      </c>
      <c r="AS2">
        <f t="shared" si="0"/>
        <v>44</v>
      </c>
      <c r="AT2">
        <f t="shared" si="0"/>
        <v>45</v>
      </c>
      <c r="AU2">
        <f t="shared" si="0"/>
        <v>46</v>
      </c>
      <c r="AV2">
        <f t="shared" si="0"/>
        <v>47</v>
      </c>
      <c r="AW2">
        <f t="shared" si="0"/>
        <v>48</v>
      </c>
      <c r="AX2">
        <f t="shared" si="0"/>
        <v>49</v>
      </c>
      <c r="AY2">
        <f t="shared" si="0"/>
        <v>50</v>
      </c>
      <c r="AZ2">
        <f t="shared" si="0"/>
        <v>51</v>
      </c>
      <c r="BA2">
        <f t="shared" si="0"/>
        <v>52</v>
      </c>
      <c r="BB2">
        <f t="shared" si="0"/>
        <v>53</v>
      </c>
      <c r="BC2">
        <f t="shared" si="0"/>
        <v>54</v>
      </c>
      <c r="BD2">
        <f t="shared" si="0"/>
        <v>55</v>
      </c>
      <c r="BE2">
        <f t="shared" si="0"/>
        <v>56</v>
      </c>
      <c r="BF2">
        <f t="shared" si="0"/>
        <v>57</v>
      </c>
      <c r="BG2">
        <f t="shared" si="0"/>
        <v>58</v>
      </c>
      <c r="BH2">
        <f t="shared" si="0"/>
        <v>59</v>
      </c>
      <c r="BI2">
        <f t="shared" si="0"/>
        <v>60</v>
      </c>
      <c r="BJ2">
        <f t="shared" si="0"/>
        <v>61</v>
      </c>
      <c r="BK2">
        <f t="shared" si="0"/>
        <v>62</v>
      </c>
      <c r="BL2">
        <f t="shared" si="0"/>
        <v>63</v>
      </c>
      <c r="BM2">
        <f t="shared" si="0"/>
        <v>64</v>
      </c>
      <c r="BN2">
        <f t="shared" si="0"/>
        <v>65</v>
      </c>
      <c r="BO2">
        <f t="shared" si="0"/>
        <v>66</v>
      </c>
      <c r="BP2">
        <f t="shared" si="0"/>
        <v>67</v>
      </c>
      <c r="BQ2">
        <f t="shared" si="0"/>
        <v>68</v>
      </c>
      <c r="BR2">
        <f t="shared" si="0"/>
        <v>69</v>
      </c>
      <c r="BS2">
        <f t="shared" si="0"/>
        <v>70</v>
      </c>
      <c r="BT2">
        <f t="shared" si="0"/>
        <v>71</v>
      </c>
      <c r="BU2">
        <f t="shared" si="0"/>
        <v>72</v>
      </c>
      <c r="BV2">
        <f t="shared" si="0"/>
        <v>73</v>
      </c>
      <c r="BW2">
        <f t="shared" si="0"/>
        <v>74</v>
      </c>
      <c r="BX2">
        <f t="shared" si="0"/>
        <v>75</v>
      </c>
      <c r="BY2">
        <f t="shared" si="0"/>
        <v>76</v>
      </c>
      <c r="BZ2">
        <f t="shared" si="0"/>
        <v>77</v>
      </c>
      <c r="CA2">
        <f t="shared" si="0"/>
        <v>78</v>
      </c>
      <c r="CB2">
        <f t="shared" si="0"/>
        <v>79</v>
      </c>
      <c r="CC2">
        <f t="shared" si="0"/>
        <v>80</v>
      </c>
      <c r="CD2">
        <f t="shared" si="0"/>
        <v>81</v>
      </c>
      <c r="CE2">
        <f t="shared" si="0"/>
        <v>82</v>
      </c>
      <c r="CF2">
        <f t="shared" si="0"/>
        <v>83</v>
      </c>
      <c r="CG2">
        <f t="shared" si="0"/>
        <v>84</v>
      </c>
      <c r="CH2">
        <f t="shared" si="0"/>
        <v>85</v>
      </c>
      <c r="CI2">
        <f t="shared" si="0"/>
        <v>86</v>
      </c>
      <c r="CJ2">
        <f t="shared" si="0"/>
        <v>87</v>
      </c>
      <c r="CK2" s="1" t="s">
        <v>5</v>
      </c>
      <c r="CL2" s="1" t="s">
        <v>2</v>
      </c>
      <c r="CM2" s="1" t="s">
        <v>3</v>
      </c>
      <c r="CN2" s="1" t="s">
        <v>4</v>
      </c>
    </row>
    <row r="3" spans="1:97" x14ac:dyDescent="0.25">
      <c r="A3">
        <v>0</v>
      </c>
      <c r="B3">
        <v>7.1576257849999996</v>
      </c>
      <c r="C3">
        <v>7.0047720299999998</v>
      </c>
      <c r="D3">
        <v>7.0031027899999998</v>
      </c>
      <c r="E3">
        <v>7.0798648780000004</v>
      </c>
      <c r="F3">
        <v>7.0648929589999998</v>
      </c>
      <c r="G3">
        <v>7.0648929589999998</v>
      </c>
      <c r="H3">
        <v>7.24810088</v>
      </c>
      <c r="I3">
        <v>7.2580489320000003</v>
      </c>
      <c r="J3">
        <v>7.2194034949999999</v>
      </c>
      <c r="K3">
        <v>7.184823186</v>
      </c>
      <c r="L3">
        <v>7.171002004</v>
      </c>
      <c r="M3">
        <v>7.2054070530000001</v>
      </c>
      <c r="N3">
        <v>6.9911666700000001</v>
      </c>
      <c r="O3">
        <v>6.9352336360000004</v>
      </c>
      <c r="P3">
        <v>7.1578481470000002</v>
      </c>
      <c r="Q3">
        <v>7.0835755569999996</v>
      </c>
      <c r="R3">
        <v>7.1018849209999999</v>
      </c>
      <c r="S3">
        <v>7.0951784489999996</v>
      </c>
      <c r="T3">
        <v>6.9216615560000001</v>
      </c>
      <c r="U3">
        <v>7.152031096</v>
      </c>
      <c r="V3">
        <v>7.2294777379999999</v>
      </c>
      <c r="W3">
        <v>7.0114202089999997</v>
      </c>
      <c r="X3">
        <v>7.0590213159999999</v>
      </c>
      <c r="Y3">
        <v>7.1969922210000004</v>
      </c>
      <c r="Z3">
        <v>7.278110678</v>
      </c>
      <c r="AB3">
        <v>7.1095444260000003</v>
      </c>
      <c r="AC3">
        <v>7.2967242079999997</v>
      </c>
      <c r="AD3">
        <v>7.0267184919999996</v>
      </c>
      <c r="AE3">
        <v>7.2014340920000004</v>
      </c>
      <c r="AF3">
        <v>7.1600361530000001</v>
      </c>
      <c r="AG3">
        <v>7.139016399</v>
      </c>
      <c r="AH3">
        <v>7.3270876249999999</v>
      </c>
      <c r="AI3">
        <v>7.2273663389999996</v>
      </c>
      <c r="AJ3">
        <v>7.198498356</v>
      </c>
      <c r="AK3">
        <v>7.0864635170000003</v>
      </c>
      <c r="AL3">
        <v>7.1849404789999998</v>
      </c>
      <c r="AM3">
        <v>7.1783833670000003</v>
      </c>
      <c r="AN3">
        <v>7.3029197689999998</v>
      </c>
      <c r="AO3">
        <v>7.3754670559999997</v>
      </c>
      <c r="AP3">
        <v>6.8992722200000003</v>
      </c>
      <c r="AQ3">
        <v>7.2064472220000004</v>
      </c>
      <c r="AR3">
        <v>7.1352805369999999</v>
      </c>
      <c r="AS3">
        <v>7.1505166310000003</v>
      </c>
      <c r="AT3">
        <v>7.0090343429999997</v>
      </c>
      <c r="AU3">
        <v>7.0655638429999996</v>
      </c>
      <c r="AV3">
        <v>7.1152083270000004</v>
      </c>
      <c r="AW3">
        <v>7.0238192030000004</v>
      </c>
      <c r="AY3">
        <v>7.1800444829999996</v>
      </c>
      <c r="AZ3">
        <v>7.1859944410000001</v>
      </c>
      <c r="BA3">
        <v>7.2134194599999999</v>
      </c>
      <c r="BB3">
        <v>7.3129482829999999</v>
      </c>
      <c r="BC3">
        <v>7.2093063199999996</v>
      </c>
      <c r="BD3">
        <v>6.9711297249999999</v>
      </c>
      <c r="BE3">
        <v>7.3257577139999999</v>
      </c>
      <c r="BF3">
        <v>7.0319838639999999</v>
      </c>
      <c r="BG3">
        <v>8.0219069249999997</v>
      </c>
      <c r="BH3">
        <v>8.1166698579999998</v>
      </c>
      <c r="BI3">
        <v>7.1100001339999999</v>
      </c>
      <c r="BJ3">
        <v>7.2719700109999996</v>
      </c>
      <c r="BK3">
        <v>7.325052758</v>
      </c>
      <c r="BL3">
        <v>7.3081749509999998</v>
      </c>
      <c r="BM3">
        <v>7.1505166310000003</v>
      </c>
      <c r="BN3">
        <v>7.0798305350000001</v>
      </c>
      <c r="BO3">
        <v>7.1135944599999998</v>
      </c>
      <c r="BP3">
        <v>7.2014110730000001</v>
      </c>
      <c r="BQ3">
        <v>7.1600889109999999</v>
      </c>
      <c r="BR3">
        <v>7.3270138920000001</v>
      </c>
      <c r="BS3">
        <v>7.1390416720000003</v>
      </c>
      <c r="BT3">
        <v>7.2273152339999998</v>
      </c>
      <c r="BU3">
        <v>7.2250352319999998</v>
      </c>
      <c r="BV3">
        <v>7.1986222470000003</v>
      </c>
      <c r="BW3">
        <v>7.3370028249999999</v>
      </c>
      <c r="BX3">
        <v>7.0864444110000004</v>
      </c>
      <c r="BY3">
        <v>7.1835283370000003</v>
      </c>
      <c r="BZ3">
        <v>7.1843723820000003</v>
      </c>
      <c r="CA3">
        <v>7.1678800069999999</v>
      </c>
      <c r="CB3">
        <v>7.1758421979999998</v>
      </c>
      <c r="CC3">
        <v>7.3755305770000001</v>
      </c>
      <c r="CD3">
        <v>7.0560394510000002</v>
      </c>
      <c r="CE3">
        <v>7.0309437470000002</v>
      </c>
      <c r="CF3">
        <v>7.2028205559999998</v>
      </c>
      <c r="CG3">
        <v>7.0656086260000004</v>
      </c>
      <c r="CH3">
        <v>7.1800639459999998</v>
      </c>
      <c r="CI3">
        <v>7.1859755390000002</v>
      </c>
      <c r="CJ3">
        <v>7.2133861709999998</v>
      </c>
      <c r="CK3" s="1" t="s">
        <v>9</v>
      </c>
      <c r="CL3" s="1">
        <f>AVERAGE(B3:CJ3)</f>
        <v>7.1782064627764717</v>
      </c>
      <c r="CM3" s="1">
        <f t="shared" ref="CM3:CM5" si="1">STDEV(B3:CJ3)</f>
        <v>0.17420901430290811</v>
      </c>
      <c r="CN3" s="1">
        <f t="shared" ref="CN3:CN6" si="2">CM3/SQRT(COUNT(B3:CJ3))</f>
        <v>1.8895620614433339E-2</v>
      </c>
    </row>
    <row r="4" spans="1:97" x14ac:dyDescent="0.25">
      <c r="A4">
        <v>1</v>
      </c>
      <c r="B4">
        <v>7.2270575130000001</v>
      </c>
      <c r="C4">
        <v>7.2506448360000002</v>
      </c>
      <c r="D4">
        <v>7.067288918</v>
      </c>
      <c r="E4">
        <v>7.1545416399999997</v>
      </c>
      <c r="F4">
        <v>7.1612488399999998</v>
      </c>
      <c r="G4">
        <v>7.1612488399999998</v>
      </c>
      <c r="H4">
        <v>7.3114004039999996</v>
      </c>
      <c r="I4">
        <v>7.320704536</v>
      </c>
      <c r="J4">
        <v>7.3139166959999997</v>
      </c>
      <c r="K4">
        <v>7.2534222909999997</v>
      </c>
      <c r="L4">
        <v>7.2258021379999997</v>
      </c>
      <c r="M4">
        <v>7.3609227349999999</v>
      </c>
      <c r="N4">
        <v>7.1420038579999998</v>
      </c>
      <c r="O4">
        <v>7.1255196009999997</v>
      </c>
      <c r="P4">
        <v>7.1612954689999997</v>
      </c>
      <c r="Q4">
        <v>7.2132450439999998</v>
      </c>
      <c r="R4">
        <v>7.1218120630000001</v>
      </c>
      <c r="S4">
        <v>7.2238892620000001</v>
      </c>
      <c r="T4">
        <v>7.0655759649999998</v>
      </c>
      <c r="U4">
        <v>7.282533377</v>
      </c>
      <c r="V4">
        <v>7.4140499540000002</v>
      </c>
      <c r="W4">
        <v>7.2503925410000001</v>
      </c>
      <c r="X4">
        <v>7.2155302350000001</v>
      </c>
      <c r="Y4">
        <v>7.3262743319999997</v>
      </c>
      <c r="Z4">
        <v>7.3832388629999999</v>
      </c>
      <c r="AB4">
        <v>7.2571751539999996</v>
      </c>
      <c r="AC4">
        <v>7.4485114640000001</v>
      </c>
      <c r="AD4">
        <v>7.0698608060000003</v>
      </c>
      <c r="AE4">
        <v>7.3969443679999998</v>
      </c>
      <c r="AF4">
        <v>7.332608617</v>
      </c>
      <c r="AG4">
        <v>7.2929080390000003</v>
      </c>
      <c r="AH4">
        <v>7.5032036839999998</v>
      </c>
      <c r="AI4">
        <v>7.3943193559999996</v>
      </c>
      <c r="AJ4">
        <v>7.2835187770000003</v>
      </c>
      <c r="AK4">
        <v>7.2863533069999997</v>
      </c>
      <c r="AL4">
        <v>7.2726622369999996</v>
      </c>
      <c r="AM4">
        <v>7.2580695039999998</v>
      </c>
      <c r="AN4">
        <v>7.6594161559999998</v>
      </c>
      <c r="AO4">
        <v>7.4554467009999996</v>
      </c>
      <c r="AP4">
        <v>7.0850916609999999</v>
      </c>
      <c r="AQ4">
        <v>7.3169638729999997</v>
      </c>
      <c r="AR4">
        <v>7.1877406060000002</v>
      </c>
      <c r="AS4">
        <v>7.1793276940000004</v>
      </c>
      <c r="AT4">
        <v>7.1381860890000004</v>
      </c>
      <c r="AU4">
        <v>7.2077333379999997</v>
      </c>
      <c r="AV4">
        <v>7.2509394589999996</v>
      </c>
      <c r="AW4">
        <v>7.1921610630000004</v>
      </c>
      <c r="AY4">
        <v>7.3719749989999999</v>
      </c>
      <c r="AZ4">
        <v>7.3485376330000003</v>
      </c>
      <c r="BA4">
        <v>7.3760016139999998</v>
      </c>
      <c r="BB4">
        <v>7.378171128</v>
      </c>
      <c r="BC4">
        <v>7.2654435230000001</v>
      </c>
      <c r="BD4">
        <v>7.0424379720000001</v>
      </c>
      <c r="BE4">
        <v>7.5161692999999996</v>
      </c>
      <c r="BF4">
        <v>7.2417854190000002</v>
      </c>
      <c r="BG4">
        <v>8.0392822840000004</v>
      </c>
      <c r="BH4">
        <v>8.0877834370000006</v>
      </c>
      <c r="BI4">
        <v>7.1100001339999999</v>
      </c>
      <c r="BJ4">
        <v>7.270658557</v>
      </c>
      <c r="BK4">
        <v>7.258275051</v>
      </c>
      <c r="BL4">
        <v>7.3948665839999999</v>
      </c>
      <c r="BM4">
        <v>7.1793276940000004</v>
      </c>
      <c r="BN4">
        <v>7.2279800859999996</v>
      </c>
      <c r="BO4">
        <v>7.2985528510000002</v>
      </c>
      <c r="BP4">
        <v>7.3969443679999998</v>
      </c>
      <c r="BQ4">
        <v>7.3324999210000001</v>
      </c>
      <c r="BR4">
        <v>7.5032223470000003</v>
      </c>
      <c r="BS4">
        <v>7.2929472830000002</v>
      </c>
      <c r="BT4">
        <v>7.3943193559999996</v>
      </c>
      <c r="BU4">
        <v>7.2871861119999997</v>
      </c>
      <c r="BV4">
        <v>7.2835583350000004</v>
      </c>
      <c r="BW4">
        <v>7.4563722510000003</v>
      </c>
      <c r="BX4">
        <v>7.2864073730000003</v>
      </c>
      <c r="BY4">
        <v>7.3377638559999996</v>
      </c>
      <c r="BZ4">
        <v>7.2707639149999999</v>
      </c>
      <c r="CA4">
        <v>7.2815389120000003</v>
      </c>
      <c r="CB4">
        <v>7.3153266209999996</v>
      </c>
      <c r="CC4">
        <v>7.453802574</v>
      </c>
      <c r="CD4">
        <v>7.19007942</v>
      </c>
      <c r="CE4">
        <v>7.2363583650000001</v>
      </c>
      <c r="CF4">
        <v>7.3496887839999996</v>
      </c>
      <c r="CG4">
        <v>7.2077333379999997</v>
      </c>
      <c r="CH4">
        <v>7.3719749989999999</v>
      </c>
      <c r="CI4">
        <v>7.348597185</v>
      </c>
      <c r="CJ4">
        <v>7.3760110579999996</v>
      </c>
      <c r="CK4" s="1" t="s">
        <v>10</v>
      </c>
      <c r="CL4" s="1">
        <f>AVERAGE(B4:CJ4)</f>
        <v>7.3009770181529419</v>
      </c>
      <c r="CM4" s="1">
        <f t="shared" si="1"/>
        <v>0.16473078852222009</v>
      </c>
      <c r="CN4" s="1">
        <f t="shared" si="2"/>
        <v>1.7867562685476717E-2</v>
      </c>
    </row>
    <row r="5" spans="1:97" x14ac:dyDescent="0.25">
      <c r="A5">
        <v>2</v>
      </c>
      <c r="B5">
        <v>7.2169495860000001</v>
      </c>
      <c r="C5">
        <v>7.2789687699999996</v>
      </c>
      <c r="D5">
        <v>7.0977827949999996</v>
      </c>
      <c r="E5">
        <v>7.1579882379999997</v>
      </c>
      <c r="F5">
        <v>7.1160480100000001</v>
      </c>
      <c r="G5">
        <v>7.1160480100000001</v>
      </c>
      <c r="H5">
        <v>7.4336814789999996</v>
      </c>
      <c r="I5">
        <v>7.3556883930000003</v>
      </c>
      <c r="J5">
        <v>7.301088902</v>
      </c>
      <c r="K5">
        <v>7.3349333489999999</v>
      </c>
      <c r="L5">
        <v>7.1883546029999996</v>
      </c>
      <c r="M5">
        <v>7.3006362969999996</v>
      </c>
      <c r="N5">
        <v>7.1801147260000002</v>
      </c>
      <c r="O5">
        <v>7.1177310680000003</v>
      </c>
      <c r="P5">
        <v>7.2397361509999998</v>
      </c>
      <c r="Q5">
        <v>7.1631971520000004</v>
      </c>
      <c r="R5">
        <v>7.173947171</v>
      </c>
      <c r="S5">
        <v>7.2397357470000001</v>
      </c>
      <c r="T5">
        <v>7.2396053</v>
      </c>
      <c r="U5">
        <v>7.3469446810000001</v>
      </c>
      <c r="V5">
        <v>7.4262721379999999</v>
      </c>
      <c r="W5">
        <v>7.2630373759999998</v>
      </c>
      <c r="X5">
        <v>7.2754958609999996</v>
      </c>
      <c r="Y5">
        <v>7.3062868070000002</v>
      </c>
      <c r="Z5">
        <v>7.3752150360000002</v>
      </c>
      <c r="AB5">
        <v>7.2502172859999998</v>
      </c>
      <c r="AC5">
        <v>7.4334863220000003</v>
      </c>
      <c r="AD5">
        <v>7.2142930099999996</v>
      </c>
      <c r="AE5">
        <v>7.4643051189999996</v>
      </c>
      <c r="AF5">
        <v>7.3224408370000003</v>
      </c>
      <c r="AG5">
        <v>7.3550298779999999</v>
      </c>
      <c r="AH5">
        <v>7.4466185459999998</v>
      </c>
      <c r="AI5">
        <v>7.3808915959999997</v>
      </c>
      <c r="AJ5">
        <v>7.2578646200000003</v>
      </c>
      <c r="AK5">
        <v>7.300261463</v>
      </c>
      <c r="AL5">
        <v>7.3140528299999996</v>
      </c>
      <c r="AM5">
        <v>7.3013139039999997</v>
      </c>
      <c r="AN5">
        <v>7.6310582499999997</v>
      </c>
      <c r="AO5">
        <v>7.5034422449999996</v>
      </c>
      <c r="AP5">
        <v>7.0146917029999996</v>
      </c>
      <c r="AQ5">
        <v>7.2797861920000004</v>
      </c>
      <c r="AR5">
        <v>7.1974039379999999</v>
      </c>
      <c r="AS5">
        <v>7.1834693950000004</v>
      </c>
      <c r="AT5">
        <v>7.1078826900000003</v>
      </c>
      <c r="AU5">
        <v>7.2690492039999999</v>
      </c>
      <c r="AV5">
        <v>7.2860873709999998</v>
      </c>
      <c r="AW5">
        <v>7.2011443609999999</v>
      </c>
      <c r="AY5">
        <v>7.4259638639999999</v>
      </c>
      <c r="AZ5">
        <v>7.3554709699999998</v>
      </c>
      <c r="BA5">
        <v>7.4132471339999997</v>
      </c>
      <c r="BB5">
        <v>7.3614324140000003</v>
      </c>
      <c r="BC5">
        <v>7.1826936290000001</v>
      </c>
      <c r="BD5">
        <v>7.063991669</v>
      </c>
      <c r="BE5">
        <v>7.5076912839999999</v>
      </c>
      <c r="BF5">
        <v>7.2540846969999997</v>
      </c>
      <c r="BG5">
        <v>8.0670572660000008</v>
      </c>
      <c r="BH5">
        <v>8.0866499489999999</v>
      </c>
      <c r="BI5">
        <v>7.1023683220000002</v>
      </c>
      <c r="BJ5">
        <v>7.2498898240000003</v>
      </c>
      <c r="BK5">
        <v>7.1129584589999997</v>
      </c>
      <c r="BL5">
        <v>7.3861693920000002</v>
      </c>
      <c r="BM5">
        <v>7.1834693950000004</v>
      </c>
      <c r="BN5">
        <v>7.200291784</v>
      </c>
      <c r="BO5">
        <v>7.233975075</v>
      </c>
      <c r="BP5">
        <v>7.4643193940000003</v>
      </c>
      <c r="BQ5">
        <v>7.3225451320000001</v>
      </c>
      <c r="BR5">
        <v>7.4466444850000002</v>
      </c>
      <c r="BS5">
        <v>7.3550298779999999</v>
      </c>
      <c r="BT5">
        <v>7.3808915959999997</v>
      </c>
      <c r="BU5">
        <v>7.3190555850000001</v>
      </c>
      <c r="BV5">
        <v>7.2580262419999997</v>
      </c>
      <c r="BW5">
        <v>7.4373804449999996</v>
      </c>
      <c r="BX5">
        <v>7.3002861729999999</v>
      </c>
      <c r="BY5">
        <v>7.350789067</v>
      </c>
      <c r="BZ5">
        <v>7.3141194230000002</v>
      </c>
      <c r="CA5">
        <v>7.3082758490000002</v>
      </c>
      <c r="CB5">
        <v>7.3592328169999996</v>
      </c>
      <c r="CC5">
        <v>7.5034602990000003</v>
      </c>
      <c r="CD5">
        <v>7.2134740969999998</v>
      </c>
      <c r="CE5">
        <v>7.3657555490000002</v>
      </c>
      <c r="CF5">
        <v>7.3293527779999996</v>
      </c>
      <c r="CG5">
        <v>7.2690527740000004</v>
      </c>
      <c r="CH5">
        <v>7.4259638639999999</v>
      </c>
      <c r="CI5">
        <v>7.3554709699999998</v>
      </c>
      <c r="CJ5">
        <v>7.4132471339999997</v>
      </c>
      <c r="CK5" s="1" t="s">
        <v>11</v>
      </c>
      <c r="CL5" s="1">
        <f t="shared" ref="CL5" si="3">AVERAGE(B5:CJ5)</f>
        <v>7.3134124362823538</v>
      </c>
      <c r="CM5" s="1">
        <f t="shared" si="1"/>
        <v>0.16580693969078522</v>
      </c>
      <c r="CN5" s="1">
        <f t="shared" si="2"/>
        <v>1.7984287668316175E-2</v>
      </c>
    </row>
    <row r="6" spans="1:97" x14ac:dyDescent="0.25">
      <c r="A6">
        <v>3</v>
      </c>
      <c r="B6">
        <v>7.2273755380000004</v>
      </c>
      <c r="C6">
        <v>7.3068833169999996</v>
      </c>
      <c r="D6">
        <v>7.1048138390000002</v>
      </c>
      <c r="E6">
        <v>7.2278844170000003</v>
      </c>
      <c r="F6">
        <v>7.1569276820000001</v>
      </c>
      <c r="G6">
        <v>7.1569276820000001</v>
      </c>
      <c r="H6">
        <v>7.4851862630000001</v>
      </c>
      <c r="I6">
        <v>7.390019433</v>
      </c>
      <c r="J6">
        <v>7.3315027620000004</v>
      </c>
      <c r="K6">
        <v>7.3322875459999999</v>
      </c>
      <c r="L6">
        <v>7.221971173</v>
      </c>
      <c r="M6">
        <v>7.3402973649999996</v>
      </c>
      <c r="N6">
        <v>7.1572832159999997</v>
      </c>
      <c r="O6">
        <v>7.1845954279999997</v>
      </c>
      <c r="P6">
        <v>7.3458809929999997</v>
      </c>
      <c r="Q6">
        <v>7.1815578970000002</v>
      </c>
      <c r="R6">
        <v>7.1755075850000001</v>
      </c>
      <c r="S6">
        <v>7.2934319009999999</v>
      </c>
      <c r="T6">
        <v>7.3102278260000002</v>
      </c>
      <c r="U6">
        <v>7.3043528039999996</v>
      </c>
      <c r="V6">
        <v>7.4271277180000004</v>
      </c>
      <c r="W6">
        <v>7.2442265350000001</v>
      </c>
      <c r="X6">
        <v>7.2688144110000001</v>
      </c>
      <c r="Y6">
        <v>7.2883523449999998</v>
      </c>
      <c r="Z6">
        <v>7.3375226329999998</v>
      </c>
      <c r="AB6">
        <v>7.2523460770000003</v>
      </c>
      <c r="AC6">
        <v>7.3879768019999998</v>
      </c>
      <c r="AD6">
        <v>7.2989323500000003</v>
      </c>
      <c r="AE6">
        <v>7.4204115799999997</v>
      </c>
      <c r="AF6">
        <v>7.3115642059999999</v>
      </c>
      <c r="AH6">
        <v>7.5207786670000001</v>
      </c>
      <c r="AI6">
        <v>7.3921249629999997</v>
      </c>
      <c r="AJ6">
        <v>7.2368948460000002</v>
      </c>
      <c r="AK6">
        <v>7.2984625960000002</v>
      </c>
      <c r="AL6">
        <v>7.3303008780000001</v>
      </c>
      <c r="AM6">
        <v>7.3387555500000001</v>
      </c>
      <c r="AN6">
        <v>7.6150861000000001</v>
      </c>
      <c r="AO6">
        <v>7.501293553</v>
      </c>
      <c r="AP6">
        <v>7.2380444649999998</v>
      </c>
      <c r="AQ6">
        <v>7.2903557230000002</v>
      </c>
      <c r="AR6">
        <v>7.2631491329999998</v>
      </c>
      <c r="AS6">
        <v>7.1483276480000004</v>
      </c>
      <c r="AT6">
        <v>7.2026965729999999</v>
      </c>
      <c r="AU6">
        <v>7.2525313579999997</v>
      </c>
      <c r="AV6">
        <v>7.3620517080000001</v>
      </c>
      <c r="AW6">
        <v>7.253414019</v>
      </c>
      <c r="AY6">
        <v>7.4157611299999999</v>
      </c>
      <c r="AZ6">
        <v>7.3779248869999998</v>
      </c>
      <c r="BA6">
        <v>7.3874777250000001</v>
      </c>
      <c r="BB6">
        <v>7.4084693680000004</v>
      </c>
      <c r="BC6">
        <v>7.2094165950000004</v>
      </c>
      <c r="BD6">
        <v>7.1077042410000004</v>
      </c>
      <c r="BE6">
        <v>7.4680140340000003</v>
      </c>
      <c r="BF6">
        <v>7.2449514549999998</v>
      </c>
      <c r="BG6">
        <v>8.0457390350000004</v>
      </c>
      <c r="BH6">
        <v>8.094322279</v>
      </c>
      <c r="BI6">
        <v>7.0561555370000004</v>
      </c>
      <c r="BL6">
        <v>7.3790499599999997</v>
      </c>
      <c r="BM6">
        <v>7.1483276480000004</v>
      </c>
      <c r="BN6">
        <v>7.2433788559999996</v>
      </c>
      <c r="BO6">
        <v>7.26761385</v>
      </c>
      <c r="BP6">
        <v>7.4205193420000004</v>
      </c>
      <c r="BQ6">
        <v>7.3095889420000004</v>
      </c>
      <c r="BR6">
        <v>7.520819468</v>
      </c>
      <c r="BT6">
        <v>7.3921249629999997</v>
      </c>
      <c r="BU6">
        <v>7.3405889159999997</v>
      </c>
      <c r="BV6">
        <v>7.2370305769999996</v>
      </c>
      <c r="BW6">
        <v>7.4289690730000002</v>
      </c>
      <c r="BX6">
        <v>7.2985055440000002</v>
      </c>
      <c r="BY6">
        <v>7.3237253369999999</v>
      </c>
      <c r="BZ6">
        <v>7.330388932</v>
      </c>
      <c r="CA6">
        <v>7.3631250140000004</v>
      </c>
      <c r="CB6">
        <v>7.3775479290000003</v>
      </c>
      <c r="CC6">
        <v>7.5015814269999996</v>
      </c>
      <c r="CD6">
        <v>7.1983300549999996</v>
      </c>
      <c r="CE6">
        <v>7.3899305059999998</v>
      </c>
      <c r="CF6">
        <v>7.3273556839999996</v>
      </c>
      <c r="CG6">
        <v>7.2525313579999997</v>
      </c>
      <c r="CH6">
        <v>7.4157571730000003</v>
      </c>
      <c r="CI6">
        <v>7.3779883210000001</v>
      </c>
      <c r="CJ6">
        <v>7.3874659100000004</v>
      </c>
      <c r="CK6" s="1" t="s">
        <v>8</v>
      </c>
      <c r="CL6" s="1">
        <f>AVERAGE(B6,C6,D20,E6,F13,G13,H9,I16,J8,K21,L13,M14,N15,O12,P20,Q12,R16,S9,T12,U12,V12,W11,X7,Y8,Z6,AB8,AD11,AC7,AE8,AF10,AG5,AH8,AI9,AJ11,AK10,AL9,AM13,AN11,AO11,AP7,AQ7,AR6,AS9,AT13,AU10,AV10,AW22,AY10,AZ10,BA12,BB17,BC8,BD7,BE17,BF11,BG7,BH19,BI10,BJ5,BK5,BL9,BM9,BN14,BO12,BP8,BQ10,BR8,BS5,BT9,BU11,BV11,BW13,BX10,BY17,BZ9,CA21,CB12,CC12,CD12,CE15,CF8,CG10,CH10,CI11,CJ12)</f>
        <v>7.3465525741904738</v>
      </c>
      <c r="CM6" s="1">
        <f>STDEV(B6,C6,D20,E6,F13,G13,H9,I16,J8,K21,L13,M14,N15,O12,P20,Q12,R16,S9,T12,U12,V12,W11,X7,Y8,Z6,AB8,AD11,AC7,AE8,AF10,AG5,AH8,AI9,AJ11,AK10,AL9,AM13,AN11,AO11,AP7,AQ7,AR6,AS9,AT13,AU10,AV10,AW22,AY10,AZ10,BA12,BB17,BC8,BD7,BE17,BF11,BG7,BH19,BI10,BJ5,BK5,BL9,BM9,BN14,BO12,BP8,BQ10,BR8,BS5,BT9,BU11,BV11,BW13,BX10,BY17,BZ9,CA21,CB12,CC12,CD12,CE15,CF8,CG10,CH10,CI11,CJ12)</f>
        <v>0.15031907886700871</v>
      </c>
      <c r="CN6" s="1">
        <f t="shared" si="2"/>
        <v>1.6702119874112079E-2</v>
      </c>
    </row>
    <row r="7" spans="1:97" x14ac:dyDescent="0.25">
      <c r="A7">
        <v>4</v>
      </c>
      <c r="D7">
        <v>7.1354848090000003</v>
      </c>
      <c r="F7">
        <v>7.2258472349999998</v>
      </c>
      <c r="G7">
        <v>7.2258472349999998</v>
      </c>
      <c r="H7">
        <v>7.4981687189999997</v>
      </c>
      <c r="I7">
        <v>7.4019793189999996</v>
      </c>
      <c r="J7">
        <v>7.3355277640000001</v>
      </c>
      <c r="K7">
        <v>7.3142606590000003</v>
      </c>
      <c r="L7">
        <v>7.2422574720000004</v>
      </c>
      <c r="M7">
        <v>7.3629504969999999</v>
      </c>
      <c r="N7">
        <v>7.2305900149999998</v>
      </c>
      <c r="O7">
        <v>7.2256269450000001</v>
      </c>
      <c r="P7">
        <v>7.361635315</v>
      </c>
      <c r="Q7">
        <v>7.1872492259999996</v>
      </c>
      <c r="R7">
        <v>7.2110761510000003</v>
      </c>
      <c r="S7">
        <v>7.3025610790000002</v>
      </c>
      <c r="T7">
        <v>7.3067222279999999</v>
      </c>
      <c r="U7">
        <v>7.3372817809999997</v>
      </c>
      <c r="V7">
        <v>7.4351194219999996</v>
      </c>
      <c r="W7">
        <v>7.2748497590000003</v>
      </c>
      <c r="X7">
        <v>7.3012472559999999</v>
      </c>
      <c r="Y7">
        <v>7.2974207599999996</v>
      </c>
      <c r="AB7">
        <v>7.3596291750000002</v>
      </c>
      <c r="AC7">
        <v>7.4583188600000003</v>
      </c>
      <c r="AD7">
        <v>7.3016165119999998</v>
      </c>
      <c r="AE7">
        <v>7.4562247719999997</v>
      </c>
      <c r="AF7">
        <v>7.3398803560000001</v>
      </c>
      <c r="AH7">
        <v>7.48874627</v>
      </c>
      <c r="AI7">
        <v>7.4217249069999998</v>
      </c>
      <c r="AJ7">
        <v>7.2829731080000002</v>
      </c>
      <c r="AK7">
        <v>7.2928826000000004</v>
      </c>
      <c r="AL7">
        <v>7.2747202829999997</v>
      </c>
      <c r="AM7">
        <v>7.2748611380000003</v>
      </c>
      <c r="AN7">
        <v>7.5936694009999997</v>
      </c>
      <c r="AO7">
        <v>7.5059731320000003</v>
      </c>
      <c r="AP7">
        <v>7.2109923379999996</v>
      </c>
      <c r="AQ7">
        <v>7.2866491099999999</v>
      </c>
      <c r="AS7">
        <v>7.1848888129999997</v>
      </c>
      <c r="AT7">
        <v>7.1997801519999998</v>
      </c>
      <c r="AU7">
        <v>7.2518723139999999</v>
      </c>
      <c r="AV7">
        <v>7.3717435790000003</v>
      </c>
      <c r="AW7">
        <v>7.2420434800000004</v>
      </c>
      <c r="AY7">
        <v>7.427519438</v>
      </c>
      <c r="AZ7">
        <v>7.3993655169999997</v>
      </c>
      <c r="BA7">
        <v>7.4162193939999996</v>
      </c>
      <c r="BB7">
        <v>7.4280891550000003</v>
      </c>
      <c r="BC7">
        <v>7.1926610379999998</v>
      </c>
      <c r="BD7">
        <v>7.1492334450000001</v>
      </c>
      <c r="BE7">
        <v>7.4049786370000001</v>
      </c>
      <c r="BF7">
        <v>7.2550751509999998</v>
      </c>
      <c r="BG7">
        <v>7.7187986540000004</v>
      </c>
      <c r="BH7">
        <v>8.01251669</v>
      </c>
      <c r="BI7">
        <v>7.1481999869999999</v>
      </c>
      <c r="BL7">
        <v>7.346944315</v>
      </c>
      <c r="BM7">
        <v>7.1848888129999997</v>
      </c>
      <c r="BN7">
        <v>7.2260168079999998</v>
      </c>
      <c r="BO7">
        <v>7.3431083170000004</v>
      </c>
      <c r="BP7">
        <v>7.4562640289999997</v>
      </c>
      <c r="BQ7">
        <v>7.3399527649999996</v>
      </c>
      <c r="BR7">
        <v>7.4887973150000002</v>
      </c>
      <c r="BT7">
        <v>7.4217249069999998</v>
      </c>
      <c r="BU7">
        <v>7.3311806129999999</v>
      </c>
      <c r="BV7">
        <v>7.2829889489999999</v>
      </c>
      <c r="BW7">
        <v>7.4085746090000004</v>
      </c>
      <c r="BX7">
        <v>7.2929472400000002</v>
      </c>
      <c r="BY7">
        <v>7.3136555430000003</v>
      </c>
      <c r="BZ7">
        <v>7.2748611040000002</v>
      </c>
      <c r="CA7">
        <v>7.3378187520000004</v>
      </c>
      <c r="CB7">
        <v>7.3200221660000002</v>
      </c>
      <c r="CC7">
        <v>7.5039444639999999</v>
      </c>
      <c r="CD7">
        <v>7.2136168940000003</v>
      </c>
      <c r="CE7">
        <v>7.408891573</v>
      </c>
      <c r="CF7">
        <v>7.3206335339999997</v>
      </c>
      <c r="CG7">
        <v>7.2518506059999996</v>
      </c>
      <c r="CH7">
        <v>7.427519438</v>
      </c>
      <c r="CI7">
        <v>7.3994303050000001</v>
      </c>
      <c r="CJ7">
        <v>7.4162193939999996</v>
      </c>
    </row>
    <row r="8" spans="1:97" x14ac:dyDescent="0.25">
      <c r="A8">
        <v>5</v>
      </c>
      <c r="D8">
        <v>7.089591499</v>
      </c>
      <c r="F8">
        <v>7.2274826179999998</v>
      </c>
      <c r="G8">
        <v>7.2274826179999998</v>
      </c>
      <c r="H8">
        <v>7.4205342710000002</v>
      </c>
      <c r="I8">
        <v>7.4320461260000004</v>
      </c>
      <c r="J8">
        <v>7.3895271249999999</v>
      </c>
      <c r="K8">
        <v>7.2127340880000004</v>
      </c>
      <c r="L8">
        <v>7.2573061059999997</v>
      </c>
      <c r="M8">
        <v>7.3721671799999999</v>
      </c>
      <c r="N8">
        <v>7.2462051599999997</v>
      </c>
      <c r="O8">
        <v>7.230925837</v>
      </c>
      <c r="P8">
        <v>7.3856601299999998</v>
      </c>
      <c r="Q8">
        <v>7.2027601380000004</v>
      </c>
      <c r="R8">
        <v>7.2485293710000001</v>
      </c>
      <c r="S8">
        <v>7.2213916569999999</v>
      </c>
      <c r="T8">
        <v>7.2817805990000002</v>
      </c>
      <c r="U8">
        <v>7.3957432059999997</v>
      </c>
      <c r="V8">
        <v>7.4347971260000003</v>
      </c>
      <c r="W8">
        <v>7.3427257470000002</v>
      </c>
      <c r="Y8">
        <v>7.3355291889999998</v>
      </c>
      <c r="AB8">
        <v>7.3899649419999998</v>
      </c>
      <c r="AD8">
        <v>7.2891286710000003</v>
      </c>
      <c r="AE8">
        <v>7.3959049529999996</v>
      </c>
      <c r="AF8">
        <v>7.3804760119999999</v>
      </c>
      <c r="AH8">
        <v>7.4542445260000001</v>
      </c>
      <c r="AI8">
        <v>7.4474334559999997</v>
      </c>
      <c r="AJ8">
        <v>7.287235387</v>
      </c>
      <c r="AK8">
        <v>7.317170043</v>
      </c>
      <c r="AL8">
        <v>7.3430272639999998</v>
      </c>
      <c r="AM8">
        <v>7.3285972020000001</v>
      </c>
      <c r="AN8">
        <v>7.580444441</v>
      </c>
      <c r="AO8">
        <v>7.5592768919999997</v>
      </c>
      <c r="AQ8">
        <v>7.2780097010000002</v>
      </c>
      <c r="AS8">
        <v>7.1945527140000003</v>
      </c>
      <c r="AT8">
        <v>7.2088472379999997</v>
      </c>
      <c r="AU8">
        <v>7.2998693799999996</v>
      </c>
      <c r="AV8">
        <v>7.3792771420000003</v>
      </c>
      <c r="AW8">
        <v>7.2011364889999996</v>
      </c>
      <c r="AY8">
        <v>7.4505776920000004</v>
      </c>
      <c r="AZ8">
        <v>7.4266424369999999</v>
      </c>
      <c r="BA8">
        <v>7.4191221589999996</v>
      </c>
      <c r="BB8">
        <v>7.4690936109999999</v>
      </c>
      <c r="BC8">
        <v>7.183160161</v>
      </c>
      <c r="BE8">
        <v>7.2765711629999998</v>
      </c>
      <c r="BF8">
        <v>7.2520435399999998</v>
      </c>
      <c r="BH8">
        <v>8.0622721740000003</v>
      </c>
      <c r="BI8">
        <v>7.1498777709999999</v>
      </c>
      <c r="BL8">
        <v>7.3716777850000001</v>
      </c>
      <c r="BM8">
        <v>7.1945527140000003</v>
      </c>
      <c r="BN8">
        <v>7.2819549300000004</v>
      </c>
      <c r="BO8">
        <v>7.3592138540000001</v>
      </c>
      <c r="BP8">
        <v>7.3959049529999996</v>
      </c>
      <c r="BQ8">
        <v>7.3805332870000004</v>
      </c>
      <c r="BR8">
        <v>7.4542445260000001</v>
      </c>
      <c r="BT8">
        <v>7.4474334559999997</v>
      </c>
      <c r="BU8">
        <v>7.3046749350000004</v>
      </c>
      <c r="BV8">
        <v>7.2872528220000001</v>
      </c>
      <c r="BW8">
        <v>7.4439359960000004</v>
      </c>
      <c r="BX8">
        <v>7.3173861850000002</v>
      </c>
      <c r="BY8">
        <v>7.2959194580000002</v>
      </c>
      <c r="BZ8">
        <v>7.343091663</v>
      </c>
      <c r="CA8">
        <v>7.3658360920000003</v>
      </c>
      <c r="CB8">
        <v>7.4145676009999999</v>
      </c>
      <c r="CC8">
        <v>7.5564695049999999</v>
      </c>
      <c r="CD8">
        <v>7.2204251890000002</v>
      </c>
      <c r="CE8">
        <v>7.3919255210000001</v>
      </c>
      <c r="CF8">
        <v>7.2698603129999997</v>
      </c>
      <c r="CG8">
        <v>7.2999111550000002</v>
      </c>
      <c r="CH8">
        <v>7.4505776920000004</v>
      </c>
      <c r="CI8">
        <v>7.426658217</v>
      </c>
      <c r="CJ8">
        <v>7.4191221589999996</v>
      </c>
    </row>
    <row r="9" spans="1:97" x14ac:dyDescent="0.25">
      <c r="A9">
        <v>6</v>
      </c>
      <c r="D9">
        <v>7.1540107060000002</v>
      </c>
      <c r="F9">
        <v>7.2719316760000003</v>
      </c>
      <c r="G9">
        <v>7.2719316760000003</v>
      </c>
      <c r="H9">
        <v>7.4384071770000002</v>
      </c>
      <c r="I9">
        <v>7.4762713090000004</v>
      </c>
      <c r="K9">
        <v>7.2490723250000002</v>
      </c>
      <c r="L9">
        <v>7.2348204880000004</v>
      </c>
      <c r="M9">
        <v>7.3265989999999999</v>
      </c>
      <c r="N9">
        <v>7.2650752040000004</v>
      </c>
      <c r="O9">
        <v>7.278755565</v>
      </c>
      <c r="P9">
        <v>7.4288832410000003</v>
      </c>
      <c r="Q9">
        <v>7.1689581049999997</v>
      </c>
      <c r="R9">
        <v>7.2745607200000002</v>
      </c>
      <c r="S9">
        <v>7.1898555489999998</v>
      </c>
      <c r="T9">
        <v>7.3072833709999996</v>
      </c>
      <c r="U9">
        <v>7.4117514309999999</v>
      </c>
      <c r="V9">
        <v>7.4205249000000002</v>
      </c>
      <c r="W9">
        <v>7.2995180709999996</v>
      </c>
      <c r="AD9">
        <v>7.2479920470000003</v>
      </c>
      <c r="AF9">
        <v>7.3388069820000004</v>
      </c>
      <c r="AI9">
        <v>7.471774709</v>
      </c>
      <c r="AJ9">
        <v>7.3149791400000002</v>
      </c>
      <c r="AK9">
        <v>7.2827124120000004</v>
      </c>
      <c r="AL9">
        <v>7.3389648090000001</v>
      </c>
      <c r="AM9">
        <v>7.5127763520000004</v>
      </c>
      <c r="AN9">
        <v>7.5552388949999996</v>
      </c>
      <c r="AO9">
        <v>7.5873437030000002</v>
      </c>
      <c r="AS9">
        <v>7.2355792440000002</v>
      </c>
      <c r="AT9">
        <v>7.2244190760000002</v>
      </c>
      <c r="AU9">
        <v>7.3151126829999997</v>
      </c>
      <c r="AV9">
        <v>7.3609059910000001</v>
      </c>
      <c r="AW9">
        <v>7.3034057150000002</v>
      </c>
      <c r="AY9">
        <v>7.4410164610000002</v>
      </c>
      <c r="AZ9">
        <v>7.4163445689999996</v>
      </c>
      <c r="BA9">
        <v>7.4587778760000001</v>
      </c>
      <c r="BB9">
        <v>7.2939472600000004</v>
      </c>
      <c r="BE9">
        <v>7.2928304549999998</v>
      </c>
      <c r="BF9">
        <v>7.2610701789999998</v>
      </c>
      <c r="BH9">
        <v>7.9865669390000003</v>
      </c>
      <c r="BI9">
        <v>7.1374352849999996</v>
      </c>
      <c r="BL9">
        <v>7.444456583</v>
      </c>
      <c r="BM9">
        <v>7.2355792440000002</v>
      </c>
      <c r="BN9">
        <v>7.2885047570000001</v>
      </c>
      <c r="BO9">
        <v>7.4092221370000004</v>
      </c>
      <c r="BQ9">
        <v>7.3388860859999996</v>
      </c>
      <c r="BR9">
        <v>7.5122283830000001</v>
      </c>
      <c r="BT9">
        <v>7.471774709</v>
      </c>
      <c r="BU9">
        <v>7.3209110989999999</v>
      </c>
      <c r="BV9">
        <v>7.3149791400000002</v>
      </c>
      <c r="BW9">
        <v>7.3984972359999999</v>
      </c>
      <c r="BX9">
        <v>7.282872298</v>
      </c>
      <c r="BY9">
        <v>7.32769943</v>
      </c>
      <c r="BZ9">
        <v>7.3390340810000003</v>
      </c>
      <c r="CA9">
        <v>7.3508943760000003</v>
      </c>
      <c r="CB9">
        <v>7.4144036270000004</v>
      </c>
      <c r="CC9">
        <v>7.5873583299999998</v>
      </c>
      <c r="CD9">
        <v>7.2734750479999999</v>
      </c>
      <c r="CE9">
        <v>7.3283471850000002</v>
      </c>
      <c r="CG9">
        <v>7.3151500890000003</v>
      </c>
      <c r="CH9">
        <v>7.4410164610000002</v>
      </c>
      <c r="CI9">
        <v>7.4163716449999999</v>
      </c>
      <c r="CJ9">
        <v>7.4587778760000001</v>
      </c>
    </row>
    <row r="10" spans="1:97" x14ac:dyDescent="0.25">
      <c r="A10">
        <v>7</v>
      </c>
      <c r="D10">
        <v>7.142593143</v>
      </c>
      <c r="F10">
        <v>7.234280697</v>
      </c>
      <c r="G10">
        <v>7.234280697</v>
      </c>
      <c r="I10">
        <v>7.440164362</v>
      </c>
      <c r="K10">
        <v>7.2526389489999996</v>
      </c>
      <c r="L10">
        <v>7.2260011100000003</v>
      </c>
      <c r="M10">
        <v>7.336087279</v>
      </c>
      <c r="N10">
        <v>7.2782145050000002</v>
      </c>
      <c r="O10">
        <v>7.3019026780000003</v>
      </c>
      <c r="P10">
        <v>7.4122610260000004</v>
      </c>
      <c r="Q10">
        <v>7.2696187370000001</v>
      </c>
      <c r="R10">
        <v>7.2219249850000002</v>
      </c>
      <c r="T10">
        <v>7.1022249249999998</v>
      </c>
      <c r="U10">
        <v>7.4315646219999998</v>
      </c>
      <c r="V10">
        <v>7.4180304960000001</v>
      </c>
      <c r="W10">
        <v>7.3415371709999997</v>
      </c>
      <c r="AD10">
        <v>7.2882048839999998</v>
      </c>
      <c r="AF10">
        <v>7.2749159680000002</v>
      </c>
      <c r="AJ10">
        <v>7.2729122960000003</v>
      </c>
      <c r="AK10">
        <v>7.2763075720000003</v>
      </c>
      <c r="AM10">
        <v>7.4968677489999997</v>
      </c>
      <c r="AN10">
        <v>7.5490876150000004</v>
      </c>
      <c r="AO10">
        <v>7.5783217369999996</v>
      </c>
      <c r="AT10">
        <v>7.212486889</v>
      </c>
      <c r="AU10">
        <v>7.3346332790000002</v>
      </c>
      <c r="AV10">
        <v>7.3032821849999996</v>
      </c>
      <c r="AW10">
        <v>7.3119850079999997</v>
      </c>
      <c r="AY10">
        <v>7.4403156629999998</v>
      </c>
      <c r="AZ10">
        <v>7.4659230909999996</v>
      </c>
      <c r="BA10">
        <v>7.5192026099999998</v>
      </c>
      <c r="BB10">
        <v>7.3616805159999998</v>
      </c>
      <c r="BE10">
        <v>7.3404871329999999</v>
      </c>
      <c r="BF10">
        <v>7.2065339570000004</v>
      </c>
      <c r="BH10">
        <v>7.9789722190000001</v>
      </c>
      <c r="BI10">
        <v>7.3000000319999998</v>
      </c>
      <c r="BN10">
        <v>7.2941945309999996</v>
      </c>
      <c r="BO10">
        <v>7.3915721669999996</v>
      </c>
      <c r="BQ10">
        <v>7.2753138079999999</v>
      </c>
      <c r="BU10">
        <v>7.3092749680000004</v>
      </c>
      <c r="BV10">
        <v>7.2730202009999996</v>
      </c>
      <c r="BW10">
        <v>7.4322471930000003</v>
      </c>
      <c r="BX10">
        <v>7.2763758840000001</v>
      </c>
      <c r="BY10">
        <v>7.3339695039999997</v>
      </c>
      <c r="CA10">
        <v>7.3650542760000004</v>
      </c>
      <c r="CB10">
        <v>7.4142007010000004</v>
      </c>
      <c r="CC10">
        <v>7.5783388699999996</v>
      </c>
      <c r="CD10">
        <v>7.3078738679999997</v>
      </c>
      <c r="CE10">
        <v>7.3584277800000004</v>
      </c>
      <c r="CG10">
        <v>7.3346332790000002</v>
      </c>
      <c r="CH10">
        <v>7.4403060979999998</v>
      </c>
      <c r="CI10">
        <v>7.4659737960000001</v>
      </c>
      <c r="CJ10">
        <v>7.5191968300000003</v>
      </c>
    </row>
    <row r="11" spans="1:97" x14ac:dyDescent="0.25">
      <c r="A11">
        <v>8</v>
      </c>
      <c r="D11">
        <v>7.1469176970000001</v>
      </c>
      <c r="F11">
        <v>7.2336362000000003</v>
      </c>
      <c r="G11">
        <v>7.2336362000000003</v>
      </c>
      <c r="I11">
        <v>7.3698022219999997</v>
      </c>
      <c r="K11">
        <v>7.2363778959999996</v>
      </c>
      <c r="L11">
        <v>7.2251266220000003</v>
      </c>
      <c r="M11">
        <v>7.3048692969999998</v>
      </c>
      <c r="N11">
        <v>7.2669947400000003</v>
      </c>
      <c r="O11">
        <v>7.3331415050000004</v>
      </c>
      <c r="P11">
        <v>7.3690382860000003</v>
      </c>
      <c r="Q11">
        <v>7.1689298700000004</v>
      </c>
      <c r="R11">
        <v>7.1925707880000003</v>
      </c>
      <c r="T11">
        <v>7.1273667139999999</v>
      </c>
      <c r="U11">
        <v>7.4161866940000003</v>
      </c>
      <c r="V11">
        <v>7.4044666069999998</v>
      </c>
      <c r="W11">
        <v>7.3168021650000004</v>
      </c>
      <c r="AD11">
        <v>7.2715233489999997</v>
      </c>
      <c r="AJ11">
        <v>7.3302808239999999</v>
      </c>
      <c r="AM11">
        <v>7.4011256029999997</v>
      </c>
      <c r="AN11">
        <v>7.5288386589999998</v>
      </c>
      <c r="AO11">
        <v>7.5637861590000002</v>
      </c>
      <c r="AT11">
        <v>7.211826512</v>
      </c>
      <c r="AW11">
        <v>7.3085499519999999</v>
      </c>
      <c r="AZ11">
        <v>7.5888992850000001</v>
      </c>
      <c r="BA11">
        <v>7.5514382209999997</v>
      </c>
      <c r="BB11">
        <v>7.3316893480000003</v>
      </c>
      <c r="BE11">
        <v>7.2301420399999996</v>
      </c>
      <c r="BF11">
        <v>7.2954474940000003</v>
      </c>
      <c r="BH11">
        <v>7.9774666290000003</v>
      </c>
      <c r="BN11">
        <v>7.2563573190000001</v>
      </c>
      <c r="BO11">
        <v>7.3490221680000003</v>
      </c>
      <c r="BU11">
        <v>7.2666707949999996</v>
      </c>
      <c r="BV11">
        <v>7.3302808239999999</v>
      </c>
      <c r="BW11">
        <v>7.4209473499999996</v>
      </c>
      <c r="BY11">
        <v>7.3092750479999999</v>
      </c>
      <c r="CA11">
        <v>7.3308837020000004</v>
      </c>
      <c r="CB11">
        <v>7.4137731689999997</v>
      </c>
      <c r="CC11">
        <v>7.5637861590000002</v>
      </c>
      <c r="CD11">
        <v>7.2427750499999997</v>
      </c>
      <c r="CE11">
        <v>7.3358294280000003</v>
      </c>
      <c r="CI11">
        <v>7.5888992850000001</v>
      </c>
      <c r="CJ11">
        <v>7.5516172099999999</v>
      </c>
    </row>
    <row r="12" spans="1:97" x14ac:dyDescent="0.25">
      <c r="A12">
        <v>9</v>
      </c>
      <c r="D12">
        <v>7.0718176489999998</v>
      </c>
      <c r="F12">
        <v>7.2551418500000002</v>
      </c>
      <c r="G12">
        <v>7.2551418500000002</v>
      </c>
      <c r="I12">
        <v>7.3804984200000003</v>
      </c>
      <c r="K12">
        <v>7.276920982</v>
      </c>
      <c r="L12">
        <v>7.2115374579999996</v>
      </c>
      <c r="M12">
        <v>7.3285492720000001</v>
      </c>
      <c r="N12">
        <v>7.2658106760000001</v>
      </c>
      <c r="O12">
        <v>7.3369073079999998</v>
      </c>
      <c r="P12">
        <v>7.3546985219999996</v>
      </c>
      <c r="Q12">
        <v>7.2132641030000002</v>
      </c>
      <c r="R12">
        <v>7.196008816</v>
      </c>
      <c r="T12">
        <v>7.0554597489999997</v>
      </c>
      <c r="U12">
        <v>7.3618137560000001</v>
      </c>
      <c r="V12">
        <v>7.4322824900000004</v>
      </c>
      <c r="AM12">
        <v>7.4741219269999997</v>
      </c>
      <c r="AN12">
        <v>7.5315780060000002</v>
      </c>
      <c r="AO12">
        <v>7.5422837349999998</v>
      </c>
      <c r="AT12">
        <v>7.2460028760000004</v>
      </c>
      <c r="AW12">
        <v>7.2545089699999998</v>
      </c>
      <c r="BA12">
        <v>7.7980900259999997</v>
      </c>
      <c r="BB12">
        <v>7.3377298990000002</v>
      </c>
      <c r="BE12">
        <v>7.1871729809999998</v>
      </c>
      <c r="BH12">
        <v>8.0120610469999995</v>
      </c>
      <c r="BN12">
        <v>7.2331176179999996</v>
      </c>
      <c r="BO12">
        <v>7.3832733370000003</v>
      </c>
      <c r="BY12">
        <v>7.3021195150000002</v>
      </c>
      <c r="CA12">
        <v>7.3133805130000002</v>
      </c>
      <c r="CB12">
        <v>7.4354093280000004</v>
      </c>
      <c r="CC12">
        <v>7.5422837349999998</v>
      </c>
      <c r="CD12">
        <v>7.2696661130000004</v>
      </c>
      <c r="CE12">
        <v>7.3089861349999996</v>
      </c>
      <c r="CJ12">
        <v>7.7981086099999999</v>
      </c>
    </row>
    <row r="13" spans="1:97" x14ac:dyDescent="0.25">
      <c r="A13">
        <v>10</v>
      </c>
      <c r="D13">
        <v>7.0853891439999996</v>
      </c>
      <c r="F13">
        <v>7.2650607210000002</v>
      </c>
      <c r="G13">
        <v>7.2650607210000002</v>
      </c>
      <c r="I13">
        <v>7.4019275149999997</v>
      </c>
      <c r="K13">
        <v>7.2457544609999998</v>
      </c>
      <c r="L13">
        <v>7.2142697919999996</v>
      </c>
      <c r="M13">
        <v>7.3142206339999998</v>
      </c>
      <c r="N13">
        <v>7.2471457790000002</v>
      </c>
      <c r="P13">
        <v>7.2882165309999998</v>
      </c>
      <c r="R13">
        <v>7.201666167</v>
      </c>
      <c r="AM13">
        <v>7.4418156240000002</v>
      </c>
      <c r="AT13">
        <v>7.2495151509999998</v>
      </c>
      <c r="AW13">
        <v>7.3581401050000004</v>
      </c>
      <c r="BB13">
        <v>7.3307694090000002</v>
      </c>
      <c r="BE13">
        <v>7.2276695279999998</v>
      </c>
      <c r="BH13">
        <v>7.99880529</v>
      </c>
      <c r="BN13">
        <v>7.2909058519999999</v>
      </c>
      <c r="BY13">
        <v>7.2677111859999997</v>
      </c>
      <c r="CA13">
        <v>7.3440110839999999</v>
      </c>
      <c r="CE13">
        <v>7.2987666710000001</v>
      </c>
      <c r="CS13" t="s">
        <v>6</v>
      </c>
    </row>
    <row r="14" spans="1:97" x14ac:dyDescent="0.25">
      <c r="A14">
        <v>11</v>
      </c>
      <c r="D14">
        <v>7.0858092130000001</v>
      </c>
      <c r="I14">
        <v>7.4007814429999996</v>
      </c>
      <c r="K14">
        <v>7.2115615899999996</v>
      </c>
      <c r="M14">
        <v>7.3015337909999998</v>
      </c>
      <c r="N14">
        <v>7.212956256</v>
      </c>
      <c r="P14">
        <v>7.2844683029999997</v>
      </c>
      <c r="R14">
        <v>7.2076842640000001</v>
      </c>
      <c r="AM14">
        <v>7.4117923379999997</v>
      </c>
      <c r="AW14">
        <v>7.325724525</v>
      </c>
      <c r="BB14">
        <v>7.2768139200000004</v>
      </c>
      <c r="BE14">
        <v>7.2878983799999997</v>
      </c>
      <c r="BH14">
        <v>7.9991447979999997</v>
      </c>
      <c r="BN14">
        <v>7.295634723</v>
      </c>
      <c r="BY14">
        <v>7.287552807</v>
      </c>
      <c r="CA14">
        <v>7.3389416289999998</v>
      </c>
      <c r="CE14">
        <v>7.2820889360000001</v>
      </c>
    </row>
    <row r="15" spans="1:97" x14ac:dyDescent="0.25">
      <c r="A15">
        <v>12</v>
      </c>
      <c r="D15">
        <v>7.2505391789999996</v>
      </c>
      <c r="I15">
        <v>7.2649457240000004</v>
      </c>
      <c r="K15">
        <v>7.2048749110000001</v>
      </c>
      <c r="N15">
        <v>7.2399139879999996</v>
      </c>
      <c r="P15">
        <v>7.238823386</v>
      </c>
      <c r="R15">
        <v>7.1280561499999999</v>
      </c>
      <c r="AW15">
        <v>7.2821323830000004</v>
      </c>
      <c r="BB15">
        <v>7.2770917859999997</v>
      </c>
      <c r="BE15">
        <v>7.276923193</v>
      </c>
      <c r="BH15">
        <v>8.0042781810000001</v>
      </c>
      <c r="BY15">
        <v>7.285050043</v>
      </c>
      <c r="CA15">
        <v>7.3344028049999999</v>
      </c>
      <c r="CE15">
        <v>7.4165215599999996</v>
      </c>
    </row>
    <row r="16" spans="1:97" x14ac:dyDescent="0.25">
      <c r="A16">
        <v>13</v>
      </c>
      <c r="D16">
        <v>7.2580934920000004</v>
      </c>
      <c r="I16">
        <v>7.3129373019999999</v>
      </c>
      <c r="K16">
        <v>7.21845157</v>
      </c>
      <c r="P16">
        <v>7.2035745159999998</v>
      </c>
      <c r="R16">
        <v>7.1802900120000004</v>
      </c>
      <c r="AW16">
        <v>7.2970892530000002</v>
      </c>
      <c r="BB16">
        <v>7.2853668809999999</v>
      </c>
      <c r="BE16">
        <v>7.2918840530000004</v>
      </c>
      <c r="BH16">
        <v>7.9921804290000003</v>
      </c>
      <c r="BY16">
        <v>7.2737139390000003</v>
      </c>
      <c r="CA16">
        <v>7.322489504</v>
      </c>
    </row>
    <row r="17" spans="1:79" x14ac:dyDescent="0.25">
      <c r="A17">
        <v>14</v>
      </c>
      <c r="D17">
        <v>7.2172442710000002</v>
      </c>
      <c r="K17">
        <v>7.2393488619999999</v>
      </c>
      <c r="P17">
        <v>7.195020908</v>
      </c>
      <c r="AW17">
        <v>7.2157087190000002</v>
      </c>
      <c r="BB17">
        <v>7.3025272660000002</v>
      </c>
      <c r="BE17">
        <v>7.291138857</v>
      </c>
      <c r="BH17">
        <v>7.9577166430000004</v>
      </c>
      <c r="BY17">
        <v>7.2760465779999999</v>
      </c>
      <c r="CA17">
        <v>7.3253333639999996</v>
      </c>
    </row>
    <row r="18" spans="1:79" x14ac:dyDescent="0.25">
      <c r="A18">
        <v>15</v>
      </c>
      <c r="D18">
        <v>7.208885381</v>
      </c>
      <c r="K18">
        <v>7.1738496310000004</v>
      </c>
      <c r="P18">
        <v>7.1484982060000002</v>
      </c>
      <c r="AW18">
        <v>7.1610841609999998</v>
      </c>
      <c r="BE18">
        <v>7.3059398270000004</v>
      </c>
      <c r="BH18">
        <v>7.9974005899999998</v>
      </c>
      <c r="CA18">
        <v>7.3079861739999998</v>
      </c>
    </row>
    <row r="19" spans="1:79" x14ac:dyDescent="0.25">
      <c r="A19">
        <v>16</v>
      </c>
      <c r="D19">
        <v>7.1946649049999998</v>
      </c>
      <c r="K19">
        <v>7.2006331399999999</v>
      </c>
      <c r="P19">
        <v>7.1450138399999998</v>
      </c>
      <c r="AW19">
        <v>7.341772314</v>
      </c>
      <c r="BH19">
        <v>8.0075289590000001</v>
      </c>
      <c r="CA19">
        <v>7.2820923019999997</v>
      </c>
    </row>
    <row r="20" spans="1:79" x14ac:dyDescent="0.25">
      <c r="A20">
        <v>17</v>
      </c>
      <c r="D20">
        <v>7.1658504110000001</v>
      </c>
      <c r="K20">
        <v>7.217905376</v>
      </c>
      <c r="P20">
        <v>7.229347132</v>
      </c>
      <c r="AW20">
        <v>7.3868745909999998</v>
      </c>
      <c r="CA20">
        <v>7.287525102</v>
      </c>
    </row>
    <row r="21" spans="1:79" x14ac:dyDescent="0.25">
      <c r="A21">
        <v>18</v>
      </c>
      <c r="D21">
        <v>7.2392053470000004</v>
      </c>
      <c r="K21">
        <v>7.2118873270000003</v>
      </c>
      <c r="AW21">
        <v>7.3388050829999996</v>
      </c>
      <c r="CA21">
        <v>7.3196711099999998</v>
      </c>
    </row>
    <row r="22" spans="1:79" x14ac:dyDescent="0.25">
      <c r="A22">
        <v>19</v>
      </c>
      <c r="AW22">
        <v>7.2880407060000003</v>
      </c>
    </row>
    <row r="23" spans="1:79" x14ac:dyDescent="0.25">
      <c r="A23">
        <v>20</v>
      </c>
    </row>
    <row r="24" spans="1:79" x14ac:dyDescent="0.25">
      <c r="A24">
        <v>21</v>
      </c>
    </row>
    <row r="25" spans="1:79" x14ac:dyDescent="0.25">
      <c r="A25">
        <v>22</v>
      </c>
    </row>
    <row r="26" spans="1:79" x14ac:dyDescent="0.25">
      <c r="A26">
        <v>23</v>
      </c>
    </row>
    <row r="27" spans="1:79" x14ac:dyDescent="0.25">
      <c r="A27">
        <v>24</v>
      </c>
    </row>
    <row r="1048576" spans="91:91" x14ac:dyDescent="0.25">
      <c r="CM1048576" t="e">
        <f>STDEV(C1048576:CL1048576)</f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48576"/>
  <sheetViews>
    <sheetView topLeftCell="CB1" workbookViewId="0">
      <selection activeCell="CK2" sqref="CK2:CN6"/>
    </sheetView>
  </sheetViews>
  <sheetFormatPr defaultRowHeight="15" x14ac:dyDescent="0.25"/>
  <sheetData>
    <row r="1" spans="1:97" x14ac:dyDescent="0.25">
      <c r="B1" t="s">
        <v>1</v>
      </c>
    </row>
    <row r="2" spans="1:97" x14ac:dyDescent="0.25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f t="shared" ref="AL2:CJ2" si="0">AK2+1</f>
        <v>37</v>
      </c>
      <c r="AM2">
        <f t="shared" si="0"/>
        <v>38</v>
      </c>
      <c r="AN2">
        <f t="shared" si="0"/>
        <v>39</v>
      </c>
      <c r="AO2">
        <f t="shared" si="0"/>
        <v>40</v>
      </c>
      <c r="AP2">
        <f t="shared" si="0"/>
        <v>41</v>
      </c>
      <c r="AQ2">
        <f t="shared" si="0"/>
        <v>42</v>
      </c>
      <c r="AR2">
        <f t="shared" si="0"/>
        <v>43</v>
      </c>
      <c r="AS2">
        <f t="shared" si="0"/>
        <v>44</v>
      </c>
      <c r="AT2">
        <f t="shared" si="0"/>
        <v>45</v>
      </c>
      <c r="AU2">
        <f t="shared" si="0"/>
        <v>46</v>
      </c>
      <c r="AV2">
        <f t="shared" si="0"/>
        <v>47</v>
      </c>
      <c r="AW2">
        <f t="shared" si="0"/>
        <v>48</v>
      </c>
      <c r="AX2">
        <f t="shared" si="0"/>
        <v>49</v>
      </c>
      <c r="AY2">
        <f t="shared" si="0"/>
        <v>50</v>
      </c>
      <c r="AZ2">
        <f t="shared" si="0"/>
        <v>51</v>
      </c>
      <c r="BA2">
        <f t="shared" si="0"/>
        <v>52</v>
      </c>
      <c r="BB2">
        <f t="shared" si="0"/>
        <v>53</v>
      </c>
      <c r="BC2">
        <f t="shared" si="0"/>
        <v>54</v>
      </c>
      <c r="BD2">
        <f t="shared" si="0"/>
        <v>55</v>
      </c>
      <c r="BE2">
        <f t="shared" si="0"/>
        <v>56</v>
      </c>
      <c r="BF2">
        <f t="shared" si="0"/>
        <v>57</v>
      </c>
      <c r="BG2">
        <f t="shared" si="0"/>
        <v>58</v>
      </c>
      <c r="BH2">
        <f t="shared" si="0"/>
        <v>59</v>
      </c>
      <c r="BI2">
        <f t="shared" si="0"/>
        <v>60</v>
      </c>
      <c r="BJ2">
        <f t="shared" si="0"/>
        <v>61</v>
      </c>
      <c r="BK2">
        <f t="shared" si="0"/>
        <v>62</v>
      </c>
      <c r="BL2">
        <f t="shared" si="0"/>
        <v>63</v>
      </c>
      <c r="BM2">
        <f t="shared" si="0"/>
        <v>64</v>
      </c>
      <c r="BN2">
        <f t="shared" si="0"/>
        <v>65</v>
      </c>
      <c r="BO2">
        <f t="shared" si="0"/>
        <v>66</v>
      </c>
      <c r="BP2">
        <f t="shared" si="0"/>
        <v>67</v>
      </c>
      <c r="BQ2">
        <f t="shared" si="0"/>
        <v>68</v>
      </c>
      <c r="BR2">
        <f t="shared" si="0"/>
        <v>69</v>
      </c>
      <c r="BS2">
        <f t="shared" si="0"/>
        <v>70</v>
      </c>
      <c r="BT2">
        <f t="shared" si="0"/>
        <v>71</v>
      </c>
      <c r="BU2">
        <f t="shared" si="0"/>
        <v>72</v>
      </c>
      <c r="BV2">
        <f t="shared" si="0"/>
        <v>73</v>
      </c>
      <c r="BW2">
        <f t="shared" si="0"/>
        <v>74</v>
      </c>
      <c r="BX2">
        <f t="shared" si="0"/>
        <v>75</v>
      </c>
      <c r="BY2">
        <f t="shared" si="0"/>
        <v>76</v>
      </c>
      <c r="BZ2">
        <f t="shared" si="0"/>
        <v>77</v>
      </c>
      <c r="CA2">
        <f t="shared" si="0"/>
        <v>78</v>
      </c>
      <c r="CB2">
        <f t="shared" si="0"/>
        <v>79</v>
      </c>
      <c r="CC2">
        <f t="shared" si="0"/>
        <v>80</v>
      </c>
      <c r="CD2">
        <f t="shared" si="0"/>
        <v>81</v>
      </c>
      <c r="CE2">
        <f t="shared" si="0"/>
        <v>82</v>
      </c>
      <c r="CF2">
        <f t="shared" si="0"/>
        <v>83</v>
      </c>
      <c r="CG2">
        <f t="shared" si="0"/>
        <v>84</v>
      </c>
      <c r="CH2">
        <f t="shared" si="0"/>
        <v>85</v>
      </c>
      <c r="CI2">
        <f t="shared" si="0"/>
        <v>86</v>
      </c>
      <c r="CJ2">
        <f t="shared" si="0"/>
        <v>87</v>
      </c>
      <c r="CK2" s="1" t="s">
        <v>5</v>
      </c>
      <c r="CL2" s="1" t="s">
        <v>2</v>
      </c>
      <c r="CM2" s="1" t="s">
        <v>3</v>
      </c>
      <c r="CN2" s="1" t="s">
        <v>4</v>
      </c>
    </row>
    <row r="3" spans="1:97" x14ac:dyDescent="0.25">
      <c r="A3">
        <v>0</v>
      </c>
      <c r="B3">
        <v>0.227873226849857</v>
      </c>
      <c r="C3">
        <v>0.28586573500000001</v>
      </c>
      <c r="D3">
        <v>0.16563333399999999</v>
      </c>
      <c r="E3">
        <v>0.26894467799999999</v>
      </c>
      <c r="F3">
        <v>0.293591883</v>
      </c>
      <c r="G3">
        <v>0.293591883</v>
      </c>
      <c r="H3">
        <v>0.48239053399999998</v>
      </c>
      <c r="I3">
        <v>0.29648971699999999</v>
      </c>
      <c r="J3">
        <v>0.45821965599999998</v>
      </c>
      <c r="K3">
        <v>0.16510387400000001</v>
      </c>
      <c r="L3">
        <v>0.19222098700000001</v>
      </c>
      <c r="M3">
        <v>0.26949152599999998</v>
      </c>
      <c r="N3">
        <v>0.50544006900000005</v>
      </c>
      <c r="O3">
        <v>0.388755988</v>
      </c>
      <c r="P3">
        <v>0.168187378</v>
      </c>
      <c r="Q3">
        <v>0.46565647999999998</v>
      </c>
      <c r="R3">
        <v>0.209613567</v>
      </c>
      <c r="S3">
        <v>0.15625488000000001</v>
      </c>
      <c r="T3">
        <v>2.7226093999999999E-2</v>
      </c>
      <c r="U3">
        <v>0.33709641499999998</v>
      </c>
      <c r="V3">
        <v>0.480894445</v>
      </c>
      <c r="W3">
        <v>0.29590086399999999</v>
      </c>
      <c r="X3">
        <v>0.29288057899999997</v>
      </c>
      <c r="Y3">
        <v>0.13389538100000001</v>
      </c>
      <c r="Z3">
        <v>0.21921257699999999</v>
      </c>
      <c r="AA3" t="s">
        <v>7</v>
      </c>
      <c r="AB3">
        <v>0.45190317400000002</v>
      </c>
      <c r="AC3">
        <v>0.231610028</v>
      </c>
      <c r="AD3">
        <v>0.26843388299999998</v>
      </c>
      <c r="AE3">
        <v>0.33064480400000001</v>
      </c>
      <c r="AF3">
        <v>0.14334630300000001</v>
      </c>
      <c r="AG3">
        <v>0.35584607000000001</v>
      </c>
      <c r="AH3">
        <v>0.31377747099999997</v>
      </c>
      <c r="AI3">
        <v>0.32087547500000002</v>
      </c>
      <c r="AJ3">
        <v>0.352213573</v>
      </c>
      <c r="AK3">
        <v>0.27160267199999999</v>
      </c>
      <c r="AL3">
        <v>0.49899893299999998</v>
      </c>
      <c r="AM3">
        <v>0.10722222200000001</v>
      </c>
      <c r="AN3">
        <v>0.41241019099999998</v>
      </c>
      <c r="AO3">
        <v>9.9442880999999997E-2</v>
      </c>
      <c r="AP3">
        <v>0.21049999999999999</v>
      </c>
      <c r="AQ3">
        <v>0.19371666700000001</v>
      </c>
      <c r="AR3">
        <v>0.38984444400000001</v>
      </c>
      <c r="AS3">
        <v>0.28456388900000001</v>
      </c>
      <c r="AT3">
        <v>0.48595209499999997</v>
      </c>
      <c r="AU3">
        <v>0.41229166499999997</v>
      </c>
      <c r="AV3">
        <v>0.40779444300000001</v>
      </c>
      <c r="AW3">
        <v>0.52592916700000003</v>
      </c>
      <c r="AX3" t="s">
        <v>7</v>
      </c>
      <c r="AY3">
        <v>0.29684444500000001</v>
      </c>
      <c r="AZ3">
        <v>0.36590555499999999</v>
      </c>
      <c r="BA3">
        <v>0.14118888900000001</v>
      </c>
      <c r="BB3">
        <v>0.120528671</v>
      </c>
      <c r="BC3">
        <v>0.36264168499999999</v>
      </c>
      <c r="BD3">
        <v>0.34170053700000003</v>
      </c>
      <c r="BE3">
        <v>0.26258495799999998</v>
      </c>
      <c r="BF3">
        <v>0.198820256</v>
      </c>
      <c r="BG3">
        <v>3.3827711000000003E-2</v>
      </c>
      <c r="BH3">
        <v>0.14102427200000001</v>
      </c>
      <c r="BI3">
        <v>0.55000001200000004</v>
      </c>
      <c r="BJ3">
        <v>0.42148096400000001</v>
      </c>
      <c r="BK3">
        <v>0.30368055700000002</v>
      </c>
      <c r="BL3">
        <v>0.226688889</v>
      </c>
      <c r="BM3">
        <v>0.28456388900000001</v>
      </c>
      <c r="BN3">
        <v>0.18506388900000001</v>
      </c>
      <c r="BO3">
        <v>0.298986111</v>
      </c>
      <c r="BP3">
        <v>0.33078889</v>
      </c>
      <c r="BQ3">
        <v>0.143322222</v>
      </c>
      <c r="BR3">
        <v>0.31395277999999999</v>
      </c>
      <c r="BS3">
        <v>0.35584722400000002</v>
      </c>
      <c r="BT3">
        <v>0.32099275300000002</v>
      </c>
      <c r="BU3">
        <v>0.40378530899999998</v>
      </c>
      <c r="BV3">
        <v>0.35236666900000002</v>
      </c>
      <c r="BW3">
        <v>0.298322223</v>
      </c>
      <c r="BX3">
        <v>0.27161666699999998</v>
      </c>
      <c r="BY3">
        <v>0.47634110699999999</v>
      </c>
      <c r="BZ3">
        <v>0.49892400599999998</v>
      </c>
      <c r="CA3">
        <v>0.35155598799999999</v>
      </c>
      <c r="CB3">
        <v>0.22761812100000001</v>
      </c>
      <c r="CC3">
        <v>9.9320607000000005E-2</v>
      </c>
      <c r="CD3">
        <v>0.289230129</v>
      </c>
      <c r="CE3">
        <v>0.426158127</v>
      </c>
      <c r="CF3">
        <v>0.123860918</v>
      </c>
      <c r="CG3">
        <v>0.41234018700000002</v>
      </c>
      <c r="CH3">
        <v>0.296815783</v>
      </c>
      <c r="CI3">
        <v>0.36592551400000001</v>
      </c>
      <c r="CJ3">
        <v>0.14123714200000001</v>
      </c>
      <c r="CK3" s="1" t="s">
        <v>9</v>
      </c>
      <c r="CL3" s="1">
        <f>AVERAGE(B3:CJ3)</f>
        <v>0.29629653478646889</v>
      </c>
      <c r="CM3" s="1">
        <f t="shared" ref="CM3:CM5" si="1">STDEV(B3:CJ3)</f>
        <v>0.1210253414406213</v>
      </c>
      <c r="CN3" s="1">
        <f t="shared" ref="CN3:CN6" si="2">CM3/SQRT(COUNT(B3:CJ3))</f>
        <v>1.3127041363186581E-2</v>
      </c>
    </row>
    <row r="4" spans="1:97" x14ac:dyDescent="0.25">
      <c r="A4">
        <v>1</v>
      </c>
      <c r="B4">
        <v>0.32498189123483801</v>
      </c>
      <c r="C4">
        <v>0.32310413700000001</v>
      </c>
      <c r="D4">
        <v>0.26863611199999998</v>
      </c>
      <c r="E4">
        <v>0.16857222399999999</v>
      </c>
      <c r="F4">
        <v>0.30640611600000001</v>
      </c>
      <c r="G4">
        <v>0.30640611600000001</v>
      </c>
      <c r="H4">
        <v>0.2645207</v>
      </c>
      <c r="I4">
        <v>0.33178361699999998</v>
      </c>
      <c r="J4">
        <v>0.34791944400000002</v>
      </c>
      <c r="K4">
        <v>0.17636111099999999</v>
      </c>
      <c r="L4">
        <v>0.25120378100000001</v>
      </c>
      <c r="M4">
        <v>0.34892162199999999</v>
      </c>
      <c r="N4">
        <v>0.209594219</v>
      </c>
      <c r="O4">
        <v>0.36564502599999998</v>
      </c>
      <c r="P4">
        <v>0.238824021</v>
      </c>
      <c r="Q4">
        <v>0.23749372699999999</v>
      </c>
      <c r="R4">
        <v>0.23468871699999999</v>
      </c>
      <c r="S4">
        <v>0.21831848500000001</v>
      </c>
      <c r="T4">
        <v>2.7163323999999999E-2</v>
      </c>
      <c r="U4">
        <v>0.39776388699999998</v>
      </c>
      <c r="V4">
        <v>0.74874444600000001</v>
      </c>
      <c r="W4">
        <v>0.35270804500000003</v>
      </c>
      <c r="X4">
        <v>0.20770665099999999</v>
      </c>
      <c r="Y4">
        <v>0.11489705</v>
      </c>
      <c r="Z4">
        <v>0.25140061699999999</v>
      </c>
      <c r="AB4">
        <v>0.33506692700000001</v>
      </c>
      <c r="AC4">
        <v>0.25360793100000001</v>
      </c>
      <c r="AD4">
        <v>0.27218127199999997</v>
      </c>
      <c r="AE4">
        <v>0.42612777600000001</v>
      </c>
      <c r="AF4">
        <v>0.36999999900000002</v>
      </c>
      <c r="AG4">
        <v>0.398065053</v>
      </c>
      <c r="AH4">
        <v>0.26839822099999999</v>
      </c>
      <c r="AI4">
        <v>0.40999166500000001</v>
      </c>
      <c r="AJ4">
        <v>0.37397218300000001</v>
      </c>
      <c r="AK4">
        <v>0.26494019600000002</v>
      </c>
      <c r="AL4">
        <v>0.35800612700000001</v>
      </c>
      <c r="AM4">
        <v>0.122991667</v>
      </c>
      <c r="AN4">
        <v>0.133444537</v>
      </c>
      <c r="AO4">
        <v>0.10645505600000001</v>
      </c>
      <c r="AP4">
        <v>0.26949722300000001</v>
      </c>
      <c r="AQ4">
        <v>0.25532222199999999</v>
      </c>
      <c r="AR4">
        <v>0.42701724899999999</v>
      </c>
      <c r="AS4">
        <v>0.326194445</v>
      </c>
      <c r="AT4">
        <v>0.33446388799999999</v>
      </c>
      <c r="AU4">
        <v>0.50256944199999998</v>
      </c>
      <c r="AV4">
        <v>0.47705113799999999</v>
      </c>
      <c r="AW4">
        <v>0.423694442</v>
      </c>
      <c r="AY4">
        <v>0.27285833399999998</v>
      </c>
      <c r="AZ4">
        <v>0.36023074700000002</v>
      </c>
      <c r="BA4">
        <v>0.12958877499999999</v>
      </c>
      <c r="BB4">
        <v>8.1596691999999998E-2</v>
      </c>
      <c r="BC4">
        <v>0.35806197099999998</v>
      </c>
      <c r="BD4">
        <v>0.32749848500000001</v>
      </c>
      <c r="BE4">
        <v>0.23010022199999999</v>
      </c>
      <c r="BF4">
        <v>0.24946885399999999</v>
      </c>
      <c r="BG4">
        <v>2.6425590999999998E-2</v>
      </c>
      <c r="BH4">
        <v>5.4205555000000002E-2</v>
      </c>
      <c r="BI4">
        <v>0.53360139600000001</v>
      </c>
      <c r="BJ4">
        <v>0.44543484100000003</v>
      </c>
      <c r="BK4">
        <v>0.32571389000000001</v>
      </c>
      <c r="BL4">
        <v>0.28954999999999997</v>
      </c>
      <c r="BM4">
        <v>0.326194445</v>
      </c>
      <c r="BN4">
        <v>0.17221172600000001</v>
      </c>
      <c r="BO4">
        <v>0.34983333300000002</v>
      </c>
      <c r="BP4">
        <v>0.42612777600000001</v>
      </c>
      <c r="BQ4">
        <v>0.37333333299999999</v>
      </c>
      <c r="BR4">
        <v>0.26838611099999998</v>
      </c>
      <c r="BS4">
        <v>0.39810277599999999</v>
      </c>
      <c r="BT4">
        <v>0.40999166500000001</v>
      </c>
      <c r="BU4">
        <v>8.7186110999999997E-2</v>
      </c>
      <c r="BV4">
        <v>0.37382499899999999</v>
      </c>
      <c r="BW4">
        <v>0.26398055599999998</v>
      </c>
      <c r="BX4">
        <v>0.26504306900000002</v>
      </c>
      <c r="BY4">
        <v>0.34289722500000003</v>
      </c>
      <c r="BZ4">
        <v>0.35813611200000001</v>
      </c>
      <c r="CA4">
        <v>0.16411666699999999</v>
      </c>
      <c r="CB4">
        <v>0.24970530899999999</v>
      </c>
      <c r="CC4">
        <v>0.106636996</v>
      </c>
      <c r="CD4">
        <v>0.31666666700000001</v>
      </c>
      <c r="CE4">
        <v>0.440988887</v>
      </c>
      <c r="CF4">
        <v>0.19152264599999999</v>
      </c>
      <c r="CG4">
        <v>0.50256944199999998</v>
      </c>
      <c r="CH4">
        <v>0.27285833399999998</v>
      </c>
      <c r="CI4">
        <v>0.36028888799999997</v>
      </c>
      <c r="CJ4">
        <v>0.129586111</v>
      </c>
      <c r="CK4" s="1" t="s">
        <v>10</v>
      </c>
      <c r="CL4" s="1">
        <f>AVERAGE(B4:CJ4)</f>
        <v>0.2937335092027627</v>
      </c>
      <c r="CM4" s="1">
        <f t="shared" si="1"/>
        <v>0.12243540059881598</v>
      </c>
      <c r="CN4" s="1">
        <f t="shared" si="2"/>
        <v>1.327998375255586E-2</v>
      </c>
    </row>
    <row r="5" spans="1:97" x14ac:dyDescent="0.25">
      <c r="A5">
        <v>2</v>
      </c>
      <c r="B5">
        <v>0.38172279289699901</v>
      </c>
      <c r="C5">
        <v>0.33208791199999999</v>
      </c>
      <c r="D5">
        <v>0.34014386400000002</v>
      </c>
      <c r="E5">
        <v>0.176671298</v>
      </c>
      <c r="F5">
        <v>0.32991335900000002</v>
      </c>
      <c r="G5">
        <v>0.32991335900000002</v>
      </c>
      <c r="H5">
        <v>0.25819394299999998</v>
      </c>
      <c r="I5">
        <v>0.31258918600000002</v>
      </c>
      <c r="J5">
        <v>0.37055833199999999</v>
      </c>
      <c r="K5">
        <v>0.228272222</v>
      </c>
      <c r="L5">
        <v>0.23633685400000001</v>
      </c>
      <c r="M5">
        <v>0.34737704800000002</v>
      </c>
      <c r="N5">
        <v>0.18958286699999999</v>
      </c>
      <c r="O5">
        <v>0.34045659499999997</v>
      </c>
      <c r="P5">
        <v>0.31759444399999998</v>
      </c>
      <c r="Q5">
        <v>0.22655</v>
      </c>
      <c r="R5">
        <v>0.22885</v>
      </c>
      <c r="S5">
        <v>0.24260434</v>
      </c>
      <c r="T5">
        <v>2.4898526000000001E-2</v>
      </c>
      <c r="U5">
        <v>0.39264942800000002</v>
      </c>
      <c r="V5">
        <v>0.73981944300000002</v>
      </c>
      <c r="W5">
        <v>0.34288140299999997</v>
      </c>
      <c r="X5">
        <v>0.23503621</v>
      </c>
      <c r="Y5">
        <v>0.15266258999999999</v>
      </c>
      <c r="Z5">
        <v>0.30350630899999997</v>
      </c>
      <c r="AB5">
        <v>0.343673073</v>
      </c>
      <c r="AC5">
        <v>0.25440872599999997</v>
      </c>
      <c r="AD5">
        <v>0.24449948499999999</v>
      </c>
      <c r="AE5">
        <v>0.41258476700000002</v>
      </c>
      <c r="AF5">
        <v>0.15298357900000001</v>
      </c>
      <c r="AG5">
        <v>0.38793470699999999</v>
      </c>
      <c r="AH5">
        <v>0.25146429599999998</v>
      </c>
      <c r="AI5">
        <v>0.42345833100000002</v>
      </c>
      <c r="AJ5">
        <v>0.36913298100000003</v>
      </c>
      <c r="AK5">
        <v>0.23072024399999999</v>
      </c>
      <c r="AL5">
        <v>0.37528233500000002</v>
      </c>
      <c r="AM5">
        <v>9.9947222000000002E-2</v>
      </c>
      <c r="AN5">
        <v>0.17900833399999999</v>
      </c>
      <c r="AO5">
        <v>4.2598639000000001E-2</v>
      </c>
      <c r="AP5">
        <v>0.30207777800000002</v>
      </c>
      <c r="AQ5">
        <v>0.25610277799999998</v>
      </c>
      <c r="AR5">
        <v>0.33622426100000002</v>
      </c>
      <c r="AS5">
        <v>0.335622223</v>
      </c>
      <c r="AT5">
        <v>0.28380383399999998</v>
      </c>
      <c r="AU5">
        <v>0.51694745399999997</v>
      </c>
      <c r="AV5">
        <v>0.468439932</v>
      </c>
      <c r="AW5">
        <v>0.42547222000000001</v>
      </c>
      <c r="AY5">
        <v>0.23342499899999999</v>
      </c>
      <c r="AZ5">
        <v>0.36179772399999999</v>
      </c>
      <c r="BA5">
        <v>0.11996944399999999</v>
      </c>
      <c r="BB5">
        <v>6.7041187000000002E-2</v>
      </c>
      <c r="BC5">
        <v>0.37087087200000002</v>
      </c>
      <c r="BD5">
        <v>0.286494629</v>
      </c>
      <c r="BE5">
        <v>0.191694584</v>
      </c>
      <c r="BF5">
        <v>0.20542292700000001</v>
      </c>
      <c r="BG5">
        <v>2.0197660999999999E-2</v>
      </c>
      <c r="BH5">
        <v>5.1299999999999998E-2</v>
      </c>
      <c r="BI5">
        <v>0.51912187099999996</v>
      </c>
      <c r="BJ5">
        <v>3.7736506000000003E-2</v>
      </c>
      <c r="BK5">
        <v>0.115293586</v>
      </c>
      <c r="BL5">
        <v>0.30143055499999999</v>
      </c>
      <c r="BM5">
        <v>0.335622223</v>
      </c>
      <c r="BN5">
        <v>0.19721666600000001</v>
      </c>
      <c r="BO5">
        <v>0.37804444399999998</v>
      </c>
      <c r="BP5">
        <v>0.412627776</v>
      </c>
      <c r="BQ5">
        <v>0.15296749100000001</v>
      </c>
      <c r="BR5">
        <v>0.25148055600000002</v>
      </c>
      <c r="BS5">
        <v>0.38818787100000002</v>
      </c>
      <c r="BT5">
        <v>0.42345833100000002</v>
      </c>
      <c r="BU5">
        <v>0.13170277799999999</v>
      </c>
      <c r="BV5">
        <v>0.36907422899999998</v>
      </c>
      <c r="BW5">
        <v>0.26330000100000001</v>
      </c>
      <c r="BX5">
        <v>0.230797222</v>
      </c>
      <c r="BY5">
        <v>0.35002778699999998</v>
      </c>
      <c r="BZ5">
        <v>0.37531666499999999</v>
      </c>
      <c r="CA5">
        <v>0.150517241</v>
      </c>
      <c r="CB5">
        <v>0.261523069</v>
      </c>
      <c r="CC5">
        <v>4.2576478000000001E-2</v>
      </c>
      <c r="CD5">
        <v>0.34495830999999999</v>
      </c>
      <c r="CE5">
        <v>0.40563610999999999</v>
      </c>
      <c r="CF5">
        <v>0.289283334</v>
      </c>
      <c r="CG5">
        <v>0.51697499800000002</v>
      </c>
      <c r="CH5">
        <v>0.23342499899999999</v>
      </c>
      <c r="CI5">
        <v>0.36180328099999998</v>
      </c>
      <c r="CJ5">
        <v>0.11996944399999999</v>
      </c>
      <c r="CK5" s="1" t="s">
        <v>11</v>
      </c>
      <c r="CL5" s="1">
        <f t="shared" ref="CL5" si="3">AVERAGE(B5:CJ5)</f>
        <v>0.28166526321055291</v>
      </c>
      <c r="CM5" s="1">
        <f t="shared" si="1"/>
        <v>0.1280000005351514</v>
      </c>
      <c r="CN5" s="1">
        <f t="shared" si="2"/>
        <v>1.3883549358439315E-2</v>
      </c>
    </row>
    <row r="6" spans="1:97" x14ac:dyDescent="0.25">
      <c r="A6">
        <v>3</v>
      </c>
      <c r="B6">
        <v>0.29859728368313798</v>
      </c>
      <c r="C6">
        <v>0.30482758599999998</v>
      </c>
      <c r="D6">
        <v>0.36059199400000003</v>
      </c>
      <c r="E6">
        <v>0.27048177800000001</v>
      </c>
      <c r="F6">
        <v>0.35185277799999998</v>
      </c>
      <c r="G6">
        <v>0.35185277799999998</v>
      </c>
      <c r="H6">
        <v>0.242608452</v>
      </c>
      <c r="I6">
        <v>0.29277004499999998</v>
      </c>
      <c r="J6">
        <v>0.37891666499999999</v>
      </c>
      <c r="K6">
        <v>0.20629777499999999</v>
      </c>
      <c r="L6">
        <v>0.21686127299999999</v>
      </c>
      <c r="M6">
        <v>0.34702972900000001</v>
      </c>
      <c r="N6">
        <v>0.192550001</v>
      </c>
      <c r="O6">
        <v>0.334968029</v>
      </c>
      <c r="P6">
        <v>0.33640541299999999</v>
      </c>
      <c r="Q6">
        <v>0.191527313</v>
      </c>
      <c r="R6">
        <v>0.217788595</v>
      </c>
      <c r="S6">
        <v>0.25232102099999998</v>
      </c>
      <c r="T6">
        <v>3.4983332999999998E-2</v>
      </c>
      <c r="U6">
        <v>0.39525555400000001</v>
      </c>
      <c r="V6">
        <v>0.75118888800000005</v>
      </c>
      <c r="W6">
        <v>0.37063438900000001</v>
      </c>
      <c r="X6">
        <v>0.22331477799999999</v>
      </c>
      <c r="Y6">
        <v>0.191597666</v>
      </c>
      <c r="Z6">
        <v>0.27827048199999999</v>
      </c>
      <c r="AB6">
        <v>0.35432153799999999</v>
      </c>
      <c r="AC6">
        <v>0.25017340999999998</v>
      </c>
      <c r="AD6">
        <v>0.22435131899999999</v>
      </c>
      <c r="AE6">
        <v>0.390842835</v>
      </c>
      <c r="AF6">
        <v>0.16299749499999999</v>
      </c>
      <c r="AH6">
        <v>0.23961624000000001</v>
      </c>
      <c r="AI6">
        <v>0.42829166499999999</v>
      </c>
      <c r="AJ6">
        <v>0.347337232</v>
      </c>
      <c r="AK6">
        <v>0.20983875299999999</v>
      </c>
      <c r="AL6">
        <v>0.36896100199999998</v>
      </c>
      <c r="AM6">
        <v>8.8563889000000007E-2</v>
      </c>
      <c r="AN6">
        <v>0.24182222</v>
      </c>
      <c r="AO6">
        <v>5.7613603999999999E-2</v>
      </c>
      <c r="AP6">
        <v>0.223988889</v>
      </c>
      <c r="AQ6">
        <v>0.254426229</v>
      </c>
      <c r="AR6">
        <v>4.6335174999999999E-2</v>
      </c>
      <c r="AS6">
        <v>0.31879166799999997</v>
      </c>
      <c r="AT6">
        <v>0.33534890099999998</v>
      </c>
      <c r="AU6">
        <v>0.49931091599999999</v>
      </c>
      <c r="AV6">
        <v>0.41412843900000001</v>
      </c>
      <c r="AW6">
        <v>0.42300805899999999</v>
      </c>
      <c r="AY6">
        <v>0.19224722299999999</v>
      </c>
      <c r="AZ6">
        <v>0.37206397699999999</v>
      </c>
      <c r="BA6">
        <v>0.13525277799999999</v>
      </c>
      <c r="BB6">
        <v>5.9686652E-2</v>
      </c>
      <c r="BC6">
        <v>0.37531388900000001</v>
      </c>
      <c r="BD6">
        <v>0.30376320200000001</v>
      </c>
      <c r="BE6">
        <v>0.13240839200000001</v>
      </c>
      <c r="BF6">
        <v>0.199491527</v>
      </c>
      <c r="BG6">
        <v>2.3824100000000002E-3</v>
      </c>
      <c r="BH6">
        <v>5.0377776999999999E-2</v>
      </c>
      <c r="BI6">
        <v>0.50834444099999998</v>
      </c>
      <c r="BL6">
        <v>0.35386666700000002</v>
      </c>
      <c r="BM6">
        <v>0.31879166799999997</v>
      </c>
      <c r="BN6">
        <v>0.19142261799999999</v>
      </c>
      <c r="BO6">
        <v>0.39229444299999999</v>
      </c>
      <c r="BP6">
        <v>0.390813886</v>
      </c>
      <c r="BQ6">
        <v>0.162972222</v>
      </c>
      <c r="BR6">
        <v>0.23951388900000001</v>
      </c>
      <c r="BT6">
        <v>0.42829166499999999</v>
      </c>
      <c r="BU6">
        <v>9.4825001000000006E-2</v>
      </c>
      <c r="BV6">
        <v>0.34731666999999999</v>
      </c>
      <c r="BW6">
        <v>0.29943873399999998</v>
      </c>
      <c r="BX6">
        <v>0.209727776</v>
      </c>
      <c r="BY6">
        <v>0.35847094800000001</v>
      </c>
      <c r="BZ6">
        <v>0.369002777</v>
      </c>
      <c r="CA6">
        <v>0.150855556</v>
      </c>
      <c r="CB6">
        <v>0.25781206600000001</v>
      </c>
      <c r="CC6">
        <v>5.7640354999999997E-2</v>
      </c>
      <c r="CD6">
        <v>0.33910530799999999</v>
      </c>
      <c r="CE6">
        <v>0.40816944300000002</v>
      </c>
      <c r="CF6">
        <v>0.36104722299999997</v>
      </c>
      <c r="CG6">
        <v>0.49931091599999999</v>
      </c>
      <c r="CH6">
        <v>0.19224506799999999</v>
      </c>
      <c r="CI6">
        <v>0.37213670399999998</v>
      </c>
      <c r="CJ6">
        <v>0.13522923100000001</v>
      </c>
      <c r="CK6" s="1" t="s">
        <v>8</v>
      </c>
      <c r="CL6" s="1">
        <f>AVERAGE(B6,C6,D20,E6,F13,G13,H9,I16,J8,K21,L13,M14,N15,O12,P20,Q12,R16,S9,T12,U12,V12,W11,X7,Y8,Z6,AB8,AD11,AC7,AE8,AF10,AG5,AH8,AI9,AJ11,AK10,AL9,AM13,AN11,AO11,AP7,AQ7,AR6,AS9,AT13,AU10,AV10,AW22,AY10,AZ10,BA12,BB17,BC8,BD7,BE17,BF11,BG7,BH19,BI10,BJ5,BK5,BL9,BM9,BN14,BO12,BP8,BQ10,BR8,BS5,BT9,BU11,BV11,BW13,BX10,BY17,BZ9,CA21,CB12,CC12,CD12,CE15,CF8,CG10,CH10,CI11,CJ12)</f>
        <v>0.24828546223156628</v>
      </c>
      <c r="CM6" s="1">
        <f>STDEV(B6,C6,D20,E6,F13,G13,H9,I16,J8,K21,L13,M14,N15,O12,P20,Q12,R16,S9,T12,U12,V12,W11,X7,Y8,Z6,AB8,AD11,AC7,AE8,AF10,AG5,AH8,AI9,AJ11,AK10,AL9,AM13,AN11,AO11,AP7,AQ7,AR6,AS9,AT13,AU10,AV10,AW22,AY10,AZ10,BA12,BB17,BC8,BD7,BE17,BF11,BG7,BH19,BI10,BJ5,BK5,BL9,BM9,BN14,BO12,BP8,BQ10,BR8,BS5,BT9,BU11,BV11,BW13,BX10,BY17,BZ9,CA21,CB12,CC12,CD12,CE15,CF8,CG10,CH10,CI11,CJ12)</f>
        <v>0.15679882889482949</v>
      </c>
      <c r="CN6" s="1">
        <f t="shared" si="2"/>
        <v>1.7422092099425499E-2</v>
      </c>
    </row>
    <row r="7" spans="1:97" x14ac:dyDescent="0.25">
      <c r="A7">
        <v>4</v>
      </c>
      <c r="D7">
        <v>0.33741039099999998</v>
      </c>
      <c r="F7">
        <v>0.35257778000000001</v>
      </c>
      <c r="G7">
        <v>0.35257778000000001</v>
      </c>
      <c r="H7">
        <v>0.26355969899999998</v>
      </c>
      <c r="I7">
        <v>0.24384187099999999</v>
      </c>
      <c r="J7">
        <v>0.36598333199999999</v>
      </c>
      <c r="K7">
        <v>0.19720407400000001</v>
      </c>
      <c r="L7">
        <v>0.199288296</v>
      </c>
      <c r="M7">
        <v>0.32669910899999999</v>
      </c>
      <c r="N7">
        <v>0.210780202</v>
      </c>
      <c r="O7">
        <v>0.38460485799999999</v>
      </c>
      <c r="P7">
        <v>0.34681090199999998</v>
      </c>
      <c r="Q7">
        <v>0.15890196100000001</v>
      </c>
      <c r="R7">
        <v>0.231179088</v>
      </c>
      <c r="S7">
        <v>0.26195555500000001</v>
      </c>
      <c r="T7">
        <v>2.1233333E-2</v>
      </c>
      <c r="U7">
        <v>0.42141189400000001</v>
      </c>
      <c r="V7">
        <v>0.74666944199999996</v>
      </c>
      <c r="W7">
        <v>0.39573217900000002</v>
      </c>
      <c r="X7">
        <v>0.20853006700000001</v>
      </c>
      <c r="Y7">
        <v>0.19100055599999999</v>
      </c>
      <c r="AB7">
        <v>0.38142458699999998</v>
      </c>
      <c r="AC7">
        <v>0.24623188400000001</v>
      </c>
      <c r="AD7">
        <v>0.21598986100000001</v>
      </c>
      <c r="AE7">
        <v>0.36721990599999998</v>
      </c>
      <c r="AF7">
        <v>0.18204785800000001</v>
      </c>
      <c r="AH7">
        <v>0.230886851</v>
      </c>
      <c r="AI7">
        <v>0.42509166399999998</v>
      </c>
      <c r="AJ7">
        <v>0.32871909199999999</v>
      </c>
      <c r="AK7">
        <v>0.195709516</v>
      </c>
      <c r="AL7">
        <v>0.37025048700000002</v>
      </c>
      <c r="AM7">
        <v>6.9383333000000005E-2</v>
      </c>
      <c r="AN7">
        <v>0.24917777699999999</v>
      </c>
      <c r="AO7">
        <v>5.9514207E-2</v>
      </c>
      <c r="AP7">
        <v>0.243855514</v>
      </c>
      <c r="AQ7">
        <v>0.26343428699999999</v>
      </c>
      <c r="AS7">
        <v>0.28582222299999999</v>
      </c>
      <c r="AT7">
        <v>0.33521557600000002</v>
      </c>
      <c r="AU7">
        <v>0.44858888600000002</v>
      </c>
      <c r="AV7">
        <v>0.57243882199999996</v>
      </c>
      <c r="AW7">
        <v>0.41269112800000002</v>
      </c>
      <c r="AY7">
        <v>0.160541668</v>
      </c>
      <c r="AZ7">
        <v>0.37368669799999998</v>
      </c>
      <c r="BA7">
        <v>0.153191667</v>
      </c>
      <c r="BB7">
        <v>3.9365935999999997E-2</v>
      </c>
      <c r="BC7">
        <v>0.39509166400000001</v>
      </c>
      <c r="BD7">
        <v>0.194670231</v>
      </c>
      <c r="BE7">
        <v>0.13159226600000001</v>
      </c>
      <c r="BF7">
        <v>0.26013069999999999</v>
      </c>
      <c r="BG7">
        <v>5.5107910000000001E-3</v>
      </c>
      <c r="BH7">
        <v>4.7066666E-2</v>
      </c>
      <c r="BI7">
        <v>0.50985555299999996</v>
      </c>
      <c r="BL7">
        <v>0.38013888699999998</v>
      </c>
      <c r="BM7">
        <v>0.28582222299999999</v>
      </c>
      <c r="BN7">
        <v>0.19520000000000001</v>
      </c>
      <c r="BO7">
        <v>0.41215555399999998</v>
      </c>
      <c r="BP7">
        <v>0.36724166699999999</v>
      </c>
      <c r="BQ7">
        <v>0.18186440700000001</v>
      </c>
      <c r="BR7">
        <v>0.230886112</v>
      </c>
      <c r="BT7">
        <v>0.425088886</v>
      </c>
      <c r="BU7">
        <v>7.8308332999999994E-2</v>
      </c>
      <c r="BV7">
        <v>0.32871666999999999</v>
      </c>
      <c r="BW7">
        <v>0.31603223400000002</v>
      </c>
      <c r="BX7">
        <v>0.19571666700000001</v>
      </c>
      <c r="BY7">
        <v>0.36382222199999997</v>
      </c>
      <c r="BZ7">
        <v>0.37032222199999998</v>
      </c>
      <c r="CA7">
        <v>0.16485134800000001</v>
      </c>
      <c r="CB7">
        <v>0.24016115499999999</v>
      </c>
      <c r="CC7">
        <v>5.9361111000000001E-2</v>
      </c>
      <c r="CD7">
        <v>0.306975002</v>
      </c>
      <c r="CE7">
        <v>0.44007222099999999</v>
      </c>
      <c r="CF7">
        <v>0.37136982499999999</v>
      </c>
      <c r="CG7">
        <v>0.44859405099999999</v>
      </c>
      <c r="CH7">
        <v>0.160541668</v>
      </c>
      <c r="CI7">
        <v>0.37375381899999999</v>
      </c>
      <c r="CJ7">
        <v>0.153191667</v>
      </c>
    </row>
    <row r="8" spans="1:97" x14ac:dyDescent="0.25">
      <c r="A8">
        <v>5</v>
      </c>
      <c r="D8">
        <v>0.32718532900000002</v>
      </c>
      <c r="F8">
        <v>0.33507641100000002</v>
      </c>
      <c r="G8">
        <v>0.33507641100000002</v>
      </c>
      <c r="H8">
        <v>0.28743739699999998</v>
      </c>
      <c r="I8">
        <v>0.23180400900000001</v>
      </c>
      <c r="J8">
        <v>0.24990542199999999</v>
      </c>
      <c r="K8">
        <v>0.231624255</v>
      </c>
      <c r="L8">
        <v>0.19092021100000001</v>
      </c>
      <c r="M8">
        <v>0.32624617900000003</v>
      </c>
      <c r="N8">
        <v>0.21350794100000001</v>
      </c>
      <c r="O8">
        <v>0.35108423700000002</v>
      </c>
      <c r="P8">
        <v>0.33555555599999998</v>
      </c>
      <c r="Q8">
        <v>0.10773233</v>
      </c>
      <c r="R8">
        <v>0.207267167</v>
      </c>
      <c r="S8">
        <v>0.26209444399999998</v>
      </c>
      <c r="T8">
        <v>2.6808333E-2</v>
      </c>
      <c r="U8">
        <v>0.46295359699999999</v>
      </c>
      <c r="V8">
        <v>0.75783888600000004</v>
      </c>
      <c r="W8">
        <v>0.37958472399999998</v>
      </c>
      <c r="Y8">
        <v>0.174518432</v>
      </c>
      <c r="AB8">
        <v>0.38150436999999998</v>
      </c>
      <c r="AD8">
        <v>0.23263503299999999</v>
      </c>
      <c r="AE8">
        <v>0.38789317499999998</v>
      </c>
      <c r="AF8">
        <v>0.186442094</v>
      </c>
      <c r="AH8">
        <v>0.27205000000000001</v>
      </c>
      <c r="AI8">
        <v>0.42122221900000001</v>
      </c>
      <c r="AJ8">
        <v>0.31489024900000001</v>
      </c>
      <c r="AK8">
        <v>0.16656712400000001</v>
      </c>
      <c r="AL8">
        <v>0.36504174</v>
      </c>
      <c r="AM8">
        <v>2.5747222E-2</v>
      </c>
      <c r="AN8">
        <v>0.25173888799999999</v>
      </c>
      <c r="AO8">
        <v>5.8076366999999997E-2</v>
      </c>
      <c r="AS8">
        <v>0.32521388800000001</v>
      </c>
      <c r="AT8">
        <v>0.33207222199999997</v>
      </c>
      <c r="AU8">
        <v>0.43916596899999999</v>
      </c>
      <c r="AV8">
        <v>0.61671949000000004</v>
      </c>
      <c r="AW8">
        <v>0.40771602899999998</v>
      </c>
      <c r="AY8">
        <v>0.11336111</v>
      </c>
      <c r="AZ8">
        <v>0.35136414500000002</v>
      </c>
      <c r="BA8">
        <v>0.10721388900000001</v>
      </c>
      <c r="BB8">
        <v>2.6561141999999999E-2</v>
      </c>
      <c r="BC8">
        <v>3.7985675000000003E-2</v>
      </c>
      <c r="BE8">
        <v>0.16725021100000001</v>
      </c>
      <c r="BF8">
        <v>0.21889630099999999</v>
      </c>
      <c r="BH8">
        <v>4.4288887999999998E-2</v>
      </c>
      <c r="BI8">
        <v>0.50393332999999996</v>
      </c>
      <c r="BL8">
        <v>0.29898610799999997</v>
      </c>
      <c r="BM8">
        <v>0.32521388800000001</v>
      </c>
      <c r="BN8">
        <v>0.18848231700000001</v>
      </c>
      <c r="BO8">
        <v>0.41295833199999998</v>
      </c>
      <c r="BP8">
        <v>0.38787339300000001</v>
      </c>
      <c r="BQ8">
        <v>0.18640000000000001</v>
      </c>
      <c r="BR8">
        <v>0.27208611100000002</v>
      </c>
      <c r="BT8">
        <v>0.42122221900000001</v>
      </c>
      <c r="BU8">
        <v>5.6958333E-2</v>
      </c>
      <c r="BV8">
        <v>0.31487778</v>
      </c>
      <c r="BW8">
        <v>0.27781944600000003</v>
      </c>
      <c r="BX8">
        <v>0.166591668</v>
      </c>
      <c r="BY8">
        <v>0.37344722000000002</v>
      </c>
      <c r="BZ8">
        <v>0.36505555899999997</v>
      </c>
      <c r="CA8">
        <v>0.160180555</v>
      </c>
      <c r="CB8">
        <v>0.249958298</v>
      </c>
      <c r="CC8">
        <v>5.7872222000000001E-2</v>
      </c>
      <c r="CD8">
        <v>0.31640833499999999</v>
      </c>
      <c r="CE8">
        <v>0.50226451800000005</v>
      </c>
      <c r="CF8">
        <v>0.34982301199999999</v>
      </c>
      <c r="CG8">
        <v>0.43916666399999998</v>
      </c>
      <c r="CH8">
        <v>0.11336111</v>
      </c>
      <c r="CI8">
        <v>0.35136895000000001</v>
      </c>
      <c r="CJ8">
        <v>0.10721388900000001</v>
      </c>
    </row>
    <row r="9" spans="1:97" x14ac:dyDescent="0.25">
      <c r="A9">
        <v>6</v>
      </c>
      <c r="D9">
        <v>0.34432823299999998</v>
      </c>
      <c r="F9">
        <v>0.25972484600000001</v>
      </c>
      <c r="G9">
        <v>0.25972484600000001</v>
      </c>
      <c r="H9">
        <v>0.22629793500000001</v>
      </c>
      <c r="I9">
        <v>0.23424394400000001</v>
      </c>
      <c r="K9">
        <v>0.24983888800000001</v>
      </c>
      <c r="L9">
        <v>0.18647452</v>
      </c>
      <c r="M9">
        <v>0.31439933199999998</v>
      </c>
      <c r="N9">
        <v>0.218357461</v>
      </c>
      <c r="O9">
        <v>0.35948333399999999</v>
      </c>
      <c r="P9">
        <v>0.304700001</v>
      </c>
      <c r="Q9">
        <v>7.8991385999999997E-2</v>
      </c>
      <c r="R9">
        <v>0.123261958</v>
      </c>
      <c r="S9">
        <v>0.23797222200000001</v>
      </c>
      <c r="T9">
        <v>2.6080554999999998E-2</v>
      </c>
      <c r="U9">
        <v>0.39963580599999998</v>
      </c>
      <c r="V9">
        <v>0.76182777599999996</v>
      </c>
      <c r="W9">
        <v>0.38721169599999999</v>
      </c>
      <c r="AD9">
        <v>0.24760354000000001</v>
      </c>
      <c r="AF9">
        <v>0.17539210199999999</v>
      </c>
      <c r="AI9">
        <v>0.426021816</v>
      </c>
      <c r="AJ9">
        <v>0.30324895899999998</v>
      </c>
      <c r="AK9">
        <v>0.15170704600000001</v>
      </c>
      <c r="AL9">
        <v>0.35933921099999999</v>
      </c>
      <c r="AM9">
        <v>3.4610673000000002E-2</v>
      </c>
      <c r="AN9">
        <v>0.26224444400000002</v>
      </c>
      <c r="AO9">
        <v>7.7824396000000004E-2</v>
      </c>
      <c r="AS9">
        <v>0.25220803800000002</v>
      </c>
      <c r="AT9">
        <v>0.33273485200000003</v>
      </c>
      <c r="AU9">
        <v>0.44628857100000002</v>
      </c>
      <c r="AV9">
        <v>0.62055030700000002</v>
      </c>
      <c r="AW9">
        <v>0.41334722899999998</v>
      </c>
      <c r="AY9">
        <v>8.0502777999999997E-2</v>
      </c>
      <c r="AZ9">
        <v>0.35289810599999999</v>
      </c>
      <c r="BA9">
        <v>0.12725277600000001</v>
      </c>
      <c r="BB9">
        <v>7.5813888999999995E-2</v>
      </c>
      <c r="BE9">
        <v>0.15172674</v>
      </c>
      <c r="BF9">
        <v>0.22851862100000001</v>
      </c>
      <c r="BH9">
        <v>4.4566665999999998E-2</v>
      </c>
      <c r="BI9">
        <v>0.51409448499999999</v>
      </c>
      <c r="BL9">
        <v>2.5667701000000001E-2</v>
      </c>
      <c r="BM9">
        <v>0.25220803800000002</v>
      </c>
      <c r="BN9">
        <v>0.18680655900000001</v>
      </c>
      <c r="BO9">
        <v>0.41208055399999999</v>
      </c>
      <c r="BQ9">
        <v>0.17536111099999999</v>
      </c>
      <c r="BT9">
        <v>0.42602908900000003</v>
      </c>
      <c r="BU9">
        <v>6.6049999999999998E-2</v>
      </c>
      <c r="BV9">
        <v>0.30324617700000001</v>
      </c>
      <c r="BW9">
        <v>0.28495000100000001</v>
      </c>
      <c r="BX9">
        <v>0.15169444500000001</v>
      </c>
      <c r="BY9">
        <v>0.32098638800000001</v>
      </c>
      <c r="BZ9">
        <v>0.35940724800000001</v>
      </c>
      <c r="CA9">
        <v>0.131258333</v>
      </c>
      <c r="CB9">
        <v>0.25779260500000001</v>
      </c>
      <c r="CC9">
        <v>7.7813888999999997E-2</v>
      </c>
      <c r="CD9">
        <v>0.36441944300000001</v>
      </c>
      <c r="CE9">
        <v>0.449136111</v>
      </c>
      <c r="CG9">
        <v>0.44627777499999999</v>
      </c>
      <c r="CH9">
        <v>8.0502777999999997E-2</v>
      </c>
      <c r="CI9">
        <v>0.352907623</v>
      </c>
      <c r="CJ9">
        <v>0.12725277600000001</v>
      </c>
    </row>
    <row r="10" spans="1:97" x14ac:dyDescent="0.25">
      <c r="A10">
        <v>7</v>
      </c>
      <c r="D10">
        <v>0.38464146500000002</v>
      </c>
      <c r="F10">
        <v>0.28870000099999998</v>
      </c>
      <c r="G10">
        <v>0.28870000099999998</v>
      </c>
      <c r="I10">
        <v>0.21665551899999999</v>
      </c>
      <c r="K10">
        <v>0.27050555399999998</v>
      </c>
      <c r="L10">
        <v>0.17155326300000001</v>
      </c>
      <c r="M10">
        <v>0.31186318000000002</v>
      </c>
      <c r="N10">
        <v>0.22569916500000001</v>
      </c>
      <c r="O10">
        <v>0.34429485399999998</v>
      </c>
      <c r="P10">
        <v>0.272183334</v>
      </c>
      <c r="Q10">
        <v>0.112596715</v>
      </c>
      <c r="R10">
        <v>0.112952778</v>
      </c>
      <c r="T10">
        <v>1.6669443999999999E-2</v>
      </c>
      <c r="U10">
        <v>0.41688160000000002</v>
      </c>
      <c r="V10">
        <v>0.76716110999999998</v>
      </c>
      <c r="W10">
        <v>0.38373433299999998</v>
      </c>
      <c r="AD10">
        <v>0.24758366300000001</v>
      </c>
      <c r="AF10">
        <v>0.191890756</v>
      </c>
      <c r="AJ10">
        <v>0.29729624700000001</v>
      </c>
      <c r="AK10">
        <v>0.16233323</v>
      </c>
      <c r="AM10">
        <v>2.9319066000000001E-2</v>
      </c>
      <c r="AN10">
        <v>0.267290682</v>
      </c>
      <c r="AO10">
        <v>6.4378993999999995E-2</v>
      </c>
      <c r="AT10">
        <v>0.342720199</v>
      </c>
      <c r="AU10">
        <v>0.45010893000000002</v>
      </c>
      <c r="AV10">
        <v>0.60350460299999997</v>
      </c>
      <c r="AW10">
        <v>0.40833750000000002</v>
      </c>
      <c r="AY10">
        <v>5.1078193000000001E-2</v>
      </c>
      <c r="AZ10">
        <v>0.25080200600000002</v>
      </c>
      <c r="BA10">
        <v>0.113892747</v>
      </c>
      <c r="BB10">
        <v>6.7816666999999997E-2</v>
      </c>
      <c r="BE10">
        <v>0.14206046999999999</v>
      </c>
      <c r="BF10">
        <v>0.230835189</v>
      </c>
      <c r="BH10">
        <v>4.2711111000000003E-2</v>
      </c>
      <c r="BI10">
        <v>0.50666667499999996</v>
      </c>
      <c r="BN10">
        <v>0.17835833300000001</v>
      </c>
      <c r="BO10">
        <v>0.40345555399999999</v>
      </c>
      <c r="BQ10">
        <v>0.19100418399999999</v>
      </c>
      <c r="BU10">
        <v>8.5597222000000001E-2</v>
      </c>
      <c r="BV10">
        <v>0.29732981600000002</v>
      </c>
      <c r="BW10">
        <v>0.30339444700000001</v>
      </c>
      <c r="BX10">
        <v>0.16239837500000001</v>
      </c>
      <c r="BY10">
        <v>0.34114167000000001</v>
      </c>
      <c r="CA10">
        <v>0.14212559</v>
      </c>
      <c r="CB10">
        <v>0.26945232200000002</v>
      </c>
      <c r="CC10">
        <v>6.4383333000000001E-2</v>
      </c>
      <c r="CD10">
        <v>0.366823234</v>
      </c>
      <c r="CE10">
        <v>0.439963889</v>
      </c>
      <c r="CG10">
        <v>0.45043572799999998</v>
      </c>
      <c r="CH10">
        <v>5.1107870999999999E-2</v>
      </c>
      <c r="CI10">
        <v>0.25070395200000001</v>
      </c>
      <c r="CJ10">
        <v>0.11388549100000001</v>
      </c>
    </row>
    <row r="11" spans="1:97" x14ac:dyDescent="0.25">
      <c r="A11">
        <v>8</v>
      </c>
      <c r="D11">
        <v>0.37640911500000002</v>
      </c>
      <c r="F11">
        <v>0.29869166800000002</v>
      </c>
      <c r="G11">
        <v>0.29869166800000002</v>
      </c>
      <c r="I11">
        <v>0.21475912</v>
      </c>
      <c r="K11">
        <v>0.25439999899999999</v>
      </c>
      <c r="L11">
        <v>0.16413678100000001</v>
      </c>
      <c r="M11">
        <v>0.311476639</v>
      </c>
      <c r="N11">
        <v>0.21850292800000001</v>
      </c>
      <c r="O11">
        <v>0.35494856800000002</v>
      </c>
      <c r="P11">
        <v>0.27021678700000001</v>
      </c>
      <c r="Q11">
        <v>0.107523624</v>
      </c>
      <c r="R11">
        <v>0.120906059</v>
      </c>
      <c r="T11">
        <v>1.752778E-3</v>
      </c>
      <c r="U11">
        <v>0.451915012</v>
      </c>
      <c r="V11">
        <v>0.763997221</v>
      </c>
      <c r="W11">
        <v>0.372117015</v>
      </c>
      <c r="AD11">
        <v>0.23870198500000001</v>
      </c>
      <c r="AJ11">
        <v>0.30988764000000002</v>
      </c>
      <c r="AM11">
        <v>3.6467481000000003E-2</v>
      </c>
      <c r="AN11">
        <v>0.25838010500000003</v>
      </c>
      <c r="AO11">
        <v>4.7713889000000002E-2</v>
      </c>
      <c r="AT11">
        <v>0.32774812199999998</v>
      </c>
      <c r="AW11">
        <v>0.43202059199999998</v>
      </c>
      <c r="BA11">
        <v>8.2023411000000004E-2</v>
      </c>
      <c r="BB11">
        <v>4.9569323999999998E-2</v>
      </c>
      <c r="BE11">
        <v>0.17963373199999999</v>
      </c>
      <c r="BF11">
        <v>0.109247159</v>
      </c>
      <c r="BH11">
        <v>4.0477777E-2</v>
      </c>
      <c r="BN11">
        <v>0.18151430900000001</v>
      </c>
      <c r="BO11">
        <v>0.39636944299999999</v>
      </c>
      <c r="BU11">
        <v>5.6541653999999997E-2</v>
      </c>
      <c r="BV11">
        <v>0.30988764000000002</v>
      </c>
      <c r="BW11">
        <v>0.31264240300000001</v>
      </c>
      <c r="BY11">
        <v>0.34493333700000001</v>
      </c>
      <c r="CA11">
        <v>0.15333518700000001</v>
      </c>
      <c r="CB11">
        <v>0.26008335700000002</v>
      </c>
      <c r="CC11">
        <v>4.7713889000000002E-2</v>
      </c>
      <c r="CD11">
        <v>0.35089444400000003</v>
      </c>
      <c r="CE11">
        <v>0.457952209</v>
      </c>
      <c r="CI11">
        <v>1.1822139000000001E-2</v>
      </c>
      <c r="CJ11">
        <v>8.2031119999999999E-2</v>
      </c>
    </row>
    <row r="12" spans="1:97" x14ac:dyDescent="0.25">
      <c r="A12">
        <v>9</v>
      </c>
      <c r="D12">
        <v>0.36318510100000001</v>
      </c>
      <c r="F12">
        <v>0.319068929</v>
      </c>
      <c r="G12">
        <v>0.319068929</v>
      </c>
      <c r="I12">
        <v>0.19661097199999999</v>
      </c>
      <c r="K12">
        <v>0.25780067600000001</v>
      </c>
      <c r="L12">
        <v>0.176285794</v>
      </c>
      <c r="M12">
        <v>0.30956642400000001</v>
      </c>
      <c r="N12">
        <v>0.21356546000000001</v>
      </c>
      <c r="O12">
        <v>0.32837874700000003</v>
      </c>
      <c r="P12">
        <v>0.300086136</v>
      </c>
      <c r="Q12">
        <v>0.10357588299999999</v>
      </c>
      <c r="R12">
        <v>0.157559755</v>
      </c>
      <c r="T12">
        <v>3.2471264999999999E-2</v>
      </c>
      <c r="U12">
        <v>0.42710784200000002</v>
      </c>
      <c r="V12">
        <v>0.768415026</v>
      </c>
      <c r="AM12">
        <v>3.6114667000000003E-2</v>
      </c>
      <c r="AT12">
        <v>0.32013351800000001</v>
      </c>
      <c r="AW12">
        <v>0.43299026099999999</v>
      </c>
      <c r="BA12">
        <v>4.6935484E-2</v>
      </c>
      <c r="BB12">
        <v>0.122864685</v>
      </c>
      <c r="BE12">
        <v>0.220525413</v>
      </c>
      <c r="BH12">
        <v>4.0127777000000003E-2</v>
      </c>
      <c r="BN12">
        <v>0.19005834899999999</v>
      </c>
      <c r="BO12">
        <v>0.355773381</v>
      </c>
      <c r="BW12">
        <v>0.31779105400000002</v>
      </c>
      <c r="BY12">
        <v>0.34668611500000002</v>
      </c>
      <c r="CA12">
        <v>0.163094446</v>
      </c>
      <c r="CB12">
        <v>0.25717121599999998</v>
      </c>
      <c r="CC12">
        <v>2.2493243E-2</v>
      </c>
      <c r="CD12">
        <v>0.35731237700000001</v>
      </c>
      <c r="CE12">
        <v>0.46565555600000003</v>
      </c>
      <c r="CJ12">
        <v>4.6938083999999998E-2</v>
      </c>
    </row>
    <row r="13" spans="1:97" x14ac:dyDescent="0.25">
      <c r="A13">
        <v>10</v>
      </c>
      <c r="D13">
        <v>0.38125347199999998</v>
      </c>
      <c r="F13">
        <v>0.303497725</v>
      </c>
      <c r="G13">
        <v>0.303497725</v>
      </c>
      <c r="I13">
        <v>0.19301949900000001</v>
      </c>
      <c r="K13">
        <v>0.20524034499999999</v>
      </c>
      <c r="L13">
        <v>0.18135884799999999</v>
      </c>
      <c r="M13">
        <v>0.30289524699999998</v>
      </c>
      <c r="N13">
        <v>0.20135895400000001</v>
      </c>
      <c r="P13">
        <v>0.32218697800000001</v>
      </c>
      <c r="R13">
        <v>0.170834492</v>
      </c>
      <c r="AM13">
        <v>3.6708511999999999E-2</v>
      </c>
      <c r="AT13">
        <v>0.28667436499999999</v>
      </c>
      <c r="AW13">
        <v>0.40917986899999997</v>
      </c>
      <c r="BB13">
        <v>0.134755556</v>
      </c>
      <c r="BE13">
        <v>0.22972495500000001</v>
      </c>
      <c r="BH13">
        <v>3.9649999999999998E-2</v>
      </c>
      <c r="BN13">
        <v>0.20964712399999999</v>
      </c>
      <c r="BW13">
        <v>0.25946973699999998</v>
      </c>
      <c r="BY13">
        <v>0.31776111299999998</v>
      </c>
      <c r="CA13">
        <v>0.179236113</v>
      </c>
      <c r="CE13">
        <v>0.46483333300000002</v>
      </c>
      <c r="CS13" t="s">
        <v>6</v>
      </c>
    </row>
    <row r="14" spans="1:97" x14ac:dyDescent="0.25">
      <c r="A14">
        <v>11</v>
      </c>
      <c r="D14">
        <v>0.397219129</v>
      </c>
      <c r="I14">
        <v>0.18048004500000001</v>
      </c>
      <c r="K14">
        <v>0.210853015</v>
      </c>
      <c r="M14">
        <v>0.238041594</v>
      </c>
      <c r="N14">
        <v>0.20852326600000001</v>
      </c>
      <c r="P14">
        <v>0.34069042300000002</v>
      </c>
      <c r="R14">
        <v>0.16853767</v>
      </c>
      <c r="AW14">
        <v>0.39573017700000002</v>
      </c>
      <c r="BB14">
        <v>0.136633333</v>
      </c>
      <c r="BE14">
        <v>0.231038353</v>
      </c>
      <c r="BH14">
        <v>3.9461111E-2</v>
      </c>
      <c r="BN14">
        <v>0.218140313</v>
      </c>
      <c r="BY14">
        <v>0.33938333599999998</v>
      </c>
      <c r="CA14">
        <v>0.162791667</v>
      </c>
      <c r="CE14">
        <v>0.42296666700000002</v>
      </c>
    </row>
    <row r="15" spans="1:97" x14ac:dyDescent="0.25">
      <c r="A15">
        <v>12</v>
      </c>
      <c r="D15">
        <v>0.38292384400000001</v>
      </c>
      <c r="I15">
        <v>0.21066555300000001</v>
      </c>
      <c r="K15">
        <v>0.20864369099999999</v>
      </c>
      <c r="N15">
        <v>0.226165437</v>
      </c>
      <c r="P15">
        <v>0.28861752499999999</v>
      </c>
      <c r="R15">
        <v>0.206902113</v>
      </c>
      <c r="AW15">
        <v>0.36163747899999998</v>
      </c>
      <c r="BB15">
        <v>0.104461111</v>
      </c>
      <c r="BE15">
        <v>0.23765109800000001</v>
      </c>
      <c r="BH15">
        <v>3.9366666000000002E-2</v>
      </c>
      <c r="BY15">
        <v>0.28964166800000002</v>
      </c>
      <c r="CA15">
        <v>0.202305556</v>
      </c>
      <c r="CE15">
        <v>4.3913042999999999E-2</v>
      </c>
    </row>
    <row r="16" spans="1:97" x14ac:dyDescent="0.25">
      <c r="A16">
        <v>13</v>
      </c>
      <c r="D16">
        <v>0.38668704500000001</v>
      </c>
      <c r="I16">
        <v>0.139399199</v>
      </c>
      <c r="K16">
        <v>0.18791493000000001</v>
      </c>
      <c r="P16">
        <v>0.26188039000000002</v>
      </c>
      <c r="R16">
        <v>0.19094994300000001</v>
      </c>
      <c r="AW16">
        <v>0.30751737800000001</v>
      </c>
      <c r="BB16">
        <v>8.9471929000000006E-2</v>
      </c>
      <c r="BE16">
        <v>0.23646333999999999</v>
      </c>
      <c r="BH16">
        <v>3.7947718999999998E-2</v>
      </c>
      <c r="BY16">
        <v>0.29610555799999999</v>
      </c>
      <c r="CA16">
        <v>0.178060574</v>
      </c>
    </row>
    <row r="17" spans="1:79" x14ac:dyDescent="0.25">
      <c r="A17">
        <v>14</v>
      </c>
      <c r="D17">
        <v>0.38919076400000002</v>
      </c>
      <c r="K17">
        <v>0.20846646199999999</v>
      </c>
      <c r="P17">
        <v>0.29659716600000002</v>
      </c>
      <c r="AW17">
        <v>0.26965814399999999</v>
      </c>
      <c r="BB17">
        <v>1.9429347E-2</v>
      </c>
      <c r="BE17">
        <v>0.191510398</v>
      </c>
      <c r="BH17">
        <v>0.64679767799999999</v>
      </c>
      <c r="BY17">
        <v>0.27025369999999999</v>
      </c>
      <c r="CA17">
        <v>0.17548889000000001</v>
      </c>
    </row>
    <row r="18" spans="1:79" x14ac:dyDescent="0.25">
      <c r="A18">
        <v>15</v>
      </c>
      <c r="D18">
        <v>0.38990271999999998</v>
      </c>
      <c r="K18">
        <v>0.23070194999999999</v>
      </c>
      <c r="P18">
        <v>0.40723859699999998</v>
      </c>
      <c r="AW18">
        <v>0.28634695700000001</v>
      </c>
      <c r="BH18">
        <v>0.82904078000000003</v>
      </c>
      <c r="CA18">
        <v>0.17796389000000001</v>
      </c>
    </row>
    <row r="19" spans="1:79" x14ac:dyDescent="0.25">
      <c r="A19">
        <v>16</v>
      </c>
      <c r="D19">
        <v>0.39520989299999998</v>
      </c>
      <c r="K19">
        <v>0.21172057999999999</v>
      </c>
      <c r="P19">
        <v>0.41671396500000002</v>
      </c>
      <c r="AW19">
        <v>0.31836855600000002</v>
      </c>
      <c r="BH19">
        <v>0.811293245</v>
      </c>
      <c r="CA19">
        <v>0.19330925299999999</v>
      </c>
    </row>
    <row r="20" spans="1:79" x14ac:dyDescent="0.25">
      <c r="A20">
        <v>17</v>
      </c>
      <c r="D20">
        <v>0.334774872</v>
      </c>
      <c r="K20">
        <v>0.26092757599999999</v>
      </c>
      <c r="P20">
        <v>0.33577801800000001</v>
      </c>
      <c r="AW20">
        <v>0.358321045</v>
      </c>
      <c r="CA20">
        <v>0.15043611100000001</v>
      </c>
    </row>
    <row r="21" spans="1:79" x14ac:dyDescent="0.25">
      <c r="A21">
        <v>18</v>
      </c>
      <c r="K21">
        <v>0.294818992</v>
      </c>
      <c r="AW21">
        <v>0.35187600800000002</v>
      </c>
      <c r="CA21">
        <v>0.188751111</v>
      </c>
    </row>
    <row r="22" spans="1:79" x14ac:dyDescent="0.25">
      <c r="A22">
        <v>19</v>
      </c>
      <c r="AW22">
        <v>0.32894720399999999</v>
      </c>
    </row>
    <row r="23" spans="1:79" x14ac:dyDescent="0.25">
      <c r="A23">
        <v>20</v>
      </c>
    </row>
    <row r="24" spans="1:79" x14ac:dyDescent="0.25">
      <c r="A24">
        <v>21</v>
      </c>
    </row>
    <row r="25" spans="1:79" x14ac:dyDescent="0.25">
      <c r="A25">
        <v>22</v>
      </c>
    </row>
    <row r="26" spans="1:79" x14ac:dyDescent="0.25">
      <c r="A26">
        <v>23</v>
      </c>
    </row>
    <row r="27" spans="1:79" x14ac:dyDescent="0.25">
      <c r="A27">
        <v>24</v>
      </c>
    </row>
    <row r="1048576" spans="91:91" x14ac:dyDescent="0.25">
      <c r="CM1048576" t="e">
        <f>STDEV(C1048576:CL1048576)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48576"/>
  <sheetViews>
    <sheetView workbookViewId="0">
      <selection activeCell="A3" sqref="A3:XFD3"/>
    </sheetView>
  </sheetViews>
  <sheetFormatPr defaultRowHeight="15" x14ac:dyDescent="0.25"/>
  <sheetData>
    <row r="1" spans="1:97" x14ac:dyDescent="0.25">
      <c r="B1" t="s">
        <v>1</v>
      </c>
    </row>
    <row r="2" spans="1:97" x14ac:dyDescent="0.25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f t="shared" ref="AL2:CJ2" si="0">AK2+1</f>
        <v>37</v>
      </c>
      <c r="AM2">
        <f t="shared" si="0"/>
        <v>38</v>
      </c>
      <c r="AN2">
        <f t="shared" si="0"/>
        <v>39</v>
      </c>
      <c r="AO2">
        <f t="shared" si="0"/>
        <v>40</v>
      </c>
      <c r="AP2">
        <f t="shared" si="0"/>
        <v>41</v>
      </c>
      <c r="AQ2">
        <f t="shared" si="0"/>
        <v>42</v>
      </c>
      <c r="AR2">
        <f t="shared" si="0"/>
        <v>43</v>
      </c>
      <c r="AS2">
        <f t="shared" si="0"/>
        <v>44</v>
      </c>
      <c r="AT2">
        <f t="shared" si="0"/>
        <v>45</v>
      </c>
      <c r="AU2">
        <f t="shared" si="0"/>
        <v>46</v>
      </c>
      <c r="AV2">
        <f t="shared" si="0"/>
        <v>47</v>
      </c>
      <c r="AW2">
        <f t="shared" si="0"/>
        <v>48</v>
      </c>
      <c r="AX2">
        <f t="shared" si="0"/>
        <v>49</v>
      </c>
      <c r="AY2">
        <f t="shared" si="0"/>
        <v>50</v>
      </c>
      <c r="AZ2">
        <f t="shared" si="0"/>
        <v>51</v>
      </c>
      <c r="BA2">
        <f t="shared" si="0"/>
        <v>52</v>
      </c>
      <c r="BB2">
        <f t="shared" si="0"/>
        <v>53</v>
      </c>
      <c r="BC2">
        <f t="shared" si="0"/>
        <v>54</v>
      </c>
      <c r="BD2">
        <f t="shared" si="0"/>
        <v>55</v>
      </c>
      <c r="BE2">
        <f t="shared" si="0"/>
        <v>56</v>
      </c>
      <c r="BF2">
        <f t="shared" si="0"/>
        <v>57</v>
      </c>
      <c r="BG2">
        <f t="shared" si="0"/>
        <v>58</v>
      </c>
      <c r="BH2">
        <f t="shared" si="0"/>
        <v>59</v>
      </c>
      <c r="BI2">
        <f t="shared" si="0"/>
        <v>60</v>
      </c>
      <c r="BJ2">
        <f t="shared" si="0"/>
        <v>61</v>
      </c>
      <c r="BK2">
        <f t="shared" si="0"/>
        <v>62</v>
      </c>
      <c r="BL2">
        <f t="shared" si="0"/>
        <v>63</v>
      </c>
      <c r="BM2">
        <f t="shared" si="0"/>
        <v>64</v>
      </c>
      <c r="BN2">
        <f t="shared" si="0"/>
        <v>65</v>
      </c>
      <c r="BO2">
        <f t="shared" si="0"/>
        <v>66</v>
      </c>
      <c r="BP2">
        <f t="shared" si="0"/>
        <v>67</v>
      </c>
      <c r="BQ2">
        <f t="shared" si="0"/>
        <v>68</v>
      </c>
      <c r="BR2">
        <f t="shared" si="0"/>
        <v>69</v>
      </c>
      <c r="BS2">
        <f t="shared" si="0"/>
        <v>70</v>
      </c>
      <c r="BT2">
        <f t="shared" si="0"/>
        <v>71</v>
      </c>
      <c r="BU2">
        <f t="shared" si="0"/>
        <v>72</v>
      </c>
      <c r="BV2">
        <f t="shared" si="0"/>
        <v>73</v>
      </c>
      <c r="BW2">
        <f t="shared" si="0"/>
        <v>74</v>
      </c>
      <c r="BX2">
        <f t="shared" si="0"/>
        <v>75</v>
      </c>
      <c r="BY2">
        <f t="shared" si="0"/>
        <v>76</v>
      </c>
      <c r="BZ2">
        <f t="shared" si="0"/>
        <v>77</v>
      </c>
      <c r="CA2">
        <f t="shared" si="0"/>
        <v>78</v>
      </c>
      <c r="CB2">
        <f t="shared" si="0"/>
        <v>79</v>
      </c>
      <c r="CC2">
        <f t="shared" si="0"/>
        <v>80</v>
      </c>
      <c r="CD2">
        <f t="shared" si="0"/>
        <v>81</v>
      </c>
      <c r="CE2">
        <f t="shared" si="0"/>
        <v>82</v>
      </c>
      <c r="CF2">
        <f t="shared" si="0"/>
        <v>83</v>
      </c>
      <c r="CG2">
        <f t="shared" si="0"/>
        <v>84</v>
      </c>
      <c r="CH2">
        <f t="shared" si="0"/>
        <v>85</v>
      </c>
      <c r="CI2">
        <f t="shared" si="0"/>
        <v>86</v>
      </c>
      <c r="CJ2">
        <f t="shared" si="0"/>
        <v>87</v>
      </c>
      <c r="CK2" t="s">
        <v>5</v>
      </c>
      <c r="CL2" t="s">
        <v>2</v>
      </c>
      <c r="CM2" t="s">
        <v>3</v>
      </c>
      <c r="CN2" t="s">
        <v>4</v>
      </c>
    </row>
    <row r="3" spans="1:97" x14ac:dyDescent="0.25">
      <c r="A3">
        <v>0</v>
      </c>
      <c r="B3">
        <f>IVCFlow!B3-ArterialFlow!B3</f>
        <v>1.0602113011501428</v>
      </c>
      <c r="C3">
        <f>IVCFlow!C3-ArterialFlow!C3</f>
        <v>0.86667411900000002</v>
      </c>
      <c r="D3">
        <f>IVCFlow!D3-ArterialFlow!D3</f>
        <v>0.84129999900000008</v>
      </c>
      <c r="E3">
        <f>IVCFlow!E3-ArterialFlow!E3</f>
        <v>1.0221745449999999</v>
      </c>
      <c r="F3">
        <f>IVCFlow!F3-ArterialFlow!F3</f>
        <v>1.0137753760000001</v>
      </c>
      <c r="G3">
        <f>IVCFlow!G3-ArterialFlow!G3</f>
        <v>1.0137753760000001</v>
      </c>
      <c r="H3">
        <f>IVCFlow!H3-ArterialFlow!H3</f>
        <v>1.3278772230000002</v>
      </c>
      <c r="I3">
        <f>IVCFlow!I3-ArterialFlow!I3</f>
        <v>1.0708310109999999</v>
      </c>
      <c r="J3">
        <f>IVCFlow!J3-ArterialFlow!J3</f>
        <v>1.1900350280000001</v>
      </c>
      <c r="K3">
        <f>IVCFlow!K3-ArterialFlow!K3</f>
        <v>0.97181919000000005</v>
      </c>
      <c r="L3">
        <f>IVCFlow!L3-ArterialFlow!L3</f>
        <v>1.0019343300000001</v>
      </c>
      <c r="M3">
        <f>IVCFlow!M3-ArterialFlow!M3</f>
        <v>0.92414559200000013</v>
      </c>
      <c r="N3">
        <f>IVCFlow!N3-ArterialFlow!N3</f>
        <v>0.86502122999999997</v>
      </c>
      <c r="O3">
        <f>IVCFlow!O3-ArterialFlow!O3</f>
        <v>1.033231539</v>
      </c>
      <c r="P3">
        <f>IVCFlow!P3-ArterialFlow!P3</f>
        <v>0.97379204799999997</v>
      </c>
      <c r="Q3">
        <f>IVCFlow!Q3-ArterialFlow!Q3</f>
        <v>1.2700241729999999</v>
      </c>
      <c r="R3">
        <f>IVCFlow!R3-ArterialFlow!R3</f>
        <v>0.88859049100000009</v>
      </c>
      <c r="S3">
        <f>IVCFlow!S3-ArterialFlow!S3</f>
        <v>1.0668795389999999</v>
      </c>
      <c r="T3">
        <f>IVCFlow!T3-ArterialFlow!T3</f>
        <v>1.072391965</v>
      </c>
      <c r="U3">
        <f>IVCFlow!U3-ArterialFlow!U3</f>
        <v>1.0302584050000001</v>
      </c>
      <c r="V3">
        <f>IVCFlow!V3-ArterialFlow!V3</f>
        <v>1.07183611</v>
      </c>
      <c r="W3">
        <f>IVCFlow!W3-ArterialFlow!W3</f>
        <v>1.1855973319999999</v>
      </c>
      <c r="X3">
        <f>IVCFlow!X3-ArterialFlow!X3</f>
        <v>1.2769982980000001</v>
      </c>
      <c r="Y3">
        <f>IVCFlow!Y3-ArterialFlow!Y3</f>
        <v>0.96401780300000006</v>
      </c>
      <c r="Z3">
        <f>IVCFlow!Z3-ArterialFlow!Z3</f>
        <v>1.0454479590000001</v>
      </c>
      <c r="AB3">
        <f>IVCFlow!AB3-ArterialFlow!AB3</f>
        <v>1.2756273679999999</v>
      </c>
      <c r="AC3">
        <f>IVCFlow!AC3-ArterialFlow!AC3</f>
        <v>1.1275933170000001</v>
      </c>
      <c r="AD3">
        <f>IVCFlow!AD3-ArterialFlow!AD3</f>
        <v>1.059521629</v>
      </c>
      <c r="AE3">
        <f>IVCFlow!AE3-ArterialFlow!AE3</f>
        <v>1.123043351</v>
      </c>
      <c r="AF3">
        <f>IVCFlow!AF3-ArterialFlow!AF3</f>
        <v>1.1509505170000001</v>
      </c>
      <c r="AG3">
        <f>IVCFlow!AG3-ArterialFlow!AG3</f>
        <v>1.1249541509999998</v>
      </c>
      <c r="AH3">
        <f>IVCFlow!AH3-ArterialFlow!AH3</f>
        <v>1.3101891390000002</v>
      </c>
      <c r="AI3">
        <f>IVCFlow!AI3-ArterialFlow!AI3</f>
        <v>1.2260685060000001</v>
      </c>
      <c r="AJ3">
        <f>IVCFlow!AJ3-ArterialFlow!AJ3</f>
        <v>1.1545467030000001</v>
      </c>
      <c r="AK3">
        <f>IVCFlow!AK3-ArterialFlow!AK3</f>
        <v>1.0217556999999999</v>
      </c>
      <c r="AL3">
        <f>IVCFlow!AL3-ArterialFlow!AL3</f>
        <v>1.19793565</v>
      </c>
      <c r="AM3">
        <f>IVCFlow!AM3-ArterialFlow!AM3</f>
        <v>1.0076694549999998</v>
      </c>
      <c r="AN3">
        <f>IVCFlow!AN3-ArterialFlow!AN3</f>
        <v>0.77018980900000011</v>
      </c>
      <c r="AO3">
        <f>IVCFlow!AO3-ArterialFlow!AO3</f>
        <v>0.96030107100000006</v>
      </c>
      <c r="AP3">
        <f>IVCFlow!AP3-ArterialFlow!AP3</f>
        <v>1.0555333290000002</v>
      </c>
      <c r="AQ3">
        <f>IVCFlow!AQ3-ArterialFlow!AQ3</f>
        <v>1.0464305509999998</v>
      </c>
      <c r="AR3">
        <f>IVCFlow!AR3-ArterialFlow!AR3</f>
        <v>1.0015472270000001</v>
      </c>
      <c r="AS3">
        <f>IVCFlow!AS3-ArterialFlow!AS3</f>
        <v>0.95037777800000001</v>
      </c>
      <c r="AT3">
        <f>IVCFlow!AT3-ArterialFlow!AT3</f>
        <v>1.280123948</v>
      </c>
      <c r="AU3">
        <f>IVCFlow!AU3-ArterialFlow!AU3</f>
        <v>1.182252791</v>
      </c>
      <c r="AV3">
        <f>IVCFlow!AV3-ArterialFlow!AV3</f>
        <v>1.038136113</v>
      </c>
      <c r="AW3">
        <f>IVCFlow!AW3-ArterialFlow!AW3</f>
        <v>1.3181083039999999</v>
      </c>
      <c r="AY3">
        <f>IVCFlow!AY3-ArterialFlow!AY3</f>
        <v>1.257613884</v>
      </c>
      <c r="AZ3">
        <f>IVCFlow!AZ3-ArterialFlow!AZ3</f>
        <v>1.2011972279999998</v>
      </c>
      <c r="BA3">
        <f>IVCFlow!BA3-ArterialFlow!BA3</f>
        <v>1.029005559</v>
      </c>
      <c r="BB3">
        <f>IVCFlow!BB3-ArterialFlow!BB3</f>
        <v>0.95148531300000005</v>
      </c>
      <c r="BC3">
        <f>IVCFlow!BC3-ArterialFlow!BC3</f>
        <v>1.185249295</v>
      </c>
      <c r="BD3">
        <f>IVCFlow!BD3-ArterialFlow!BD3</f>
        <v>0.847495518</v>
      </c>
      <c r="BE3">
        <f>IVCFlow!BE3-ArterialFlow!BE3</f>
        <v>1.0622367780000002</v>
      </c>
      <c r="BF3">
        <f>IVCFlow!BF3-ArterialFlow!BF3</f>
        <v>1.0390345049999998</v>
      </c>
      <c r="BG3">
        <f>IVCFlow!BG3-ArterialFlow!BG3</f>
        <v>2.357663847</v>
      </c>
      <c r="BH3">
        <f>IVCFlow!BH3-ArterialFlow!BH3</f>
        <v>1.2075339839999999</v>
      </c>
      <c r="BI3">
        <f>IVCFlow!BI3-ArterialFlow!BI3</f>
        <v>1.6500000360000002</v>
      </c>
      <c r="BJ3">
        <f>IVCFlow!BJ3-ArterialFlow!BJ3</f>
        <v>1.2698360590000002</v>
      </c>
      <c r="BK3">
        <f>IVCFlow!BK3-ArterialFlow!BK3</f>
        <v>1.1530888859999999</v>
      </c>
      <c r="BL3">
        <f>IVCFlow!BL3-ArterialFlow!BL3</f>
        <v>1.0217611229999999</v>
      </c>
      <c r="BM3">
        <f>IVCFlow!BM3-ArterialFlow!BM3</f>
        <v>0.95037777800000001</v>
      </c>
      <c r="BN3">
        <f>IVCFlow!BN3-ArterialFlow!BN3</f>
        <v>1.117841667</v>
      </c>
      <c r="BO3">
        <f>IVCFlow!BO3-ArterialFlow!BO3</f>
        <v>1.018794446</v>
      </c>
      <c r="BP3">
        <f>IVCFlow!BP3-ArterialFlow!BP3</f>
        <v>1.123449994</v>
      </c>
      <c r="BQ3">
        <f>IVCFlow!BQ3-ArterialFlow!BQ3</f>
        <v>1.1509666549999999</v>
      </c>
      <c r="BR3">
        <f>IVCFlow!BR3-ArterialFlow!BR3</f>
        <v>1.3110110990000001</v>
      </c>
      <c r="BS3">
        <f>IVCFlow!BS3-ArterialFlow!BS3</f>
        <v>1.1249555519999999</v>
      </c>
      <c r="BT3">
        <f>IVCFlow!BT3-ArterialFlow!BT3</f>
        <v>1.2267898449999999</v>
      </c>
      <c r="BU3">
        <f>IVCFlow!BU3-ArterialFlow!BU3</f>
        <v>1.2918165899999998</v>
      </c>
      <c r="BV3">
        <f>IVCFlow!BV3-ArterialFlow!BV3</f>
        <v>1.1551916520000001</v>
      </c>
      <c r="BW3">
        <f>IVCFlow!BW3-ArterialFlow!BW3</f>
        <v>0.9729555700000001</v>
      </c>
      <c r="BX3">
        <f>IVCFlow!BX3-ArterialFlow!BX3</f>
        <v>1.0217583299999999</v>
      </c>
      <c r="BY3">
        <f>IVCFlow!BY3-ArterialFlow!BY3</f>
        <v>1.2283163400000001</v>
      </c>
      <c r="BZ3">
        <v>1.6966282130000001</v>
      </c>
      <c r="CA3">
        <f>IVCFlow!CA3-ArterialFlow!CA3</f>
        <v>0.97915809900000006</v>
      </c>
      <c r="CB3">
        <f>IVCFlow!CB3-ArterialFlow!CB3</f>
        <v>1.0363646520000001</v>
      </c>
      <c r="CC3">
        <f>IVCFlow!CC3-ArterialFlow!CC3</f>
        <v>0.96004211199999989</v>
      </c>
      <c r="CD3">
        <f>IVCFlow!CD3-ArterialFlow!CD3</f>
        <v>1.112812688</v>
      </c>
      <c r="CE3">
        <f>IVCFlow!CE3-ArterialFlow!CE3</f>
        <v>1.139551784</v>
      </c>
      <c r="CF3">
        <f>IVCFlow!CF3-ArterialFlow!CF3</f>
        <v>1.0754075059999999</v>
      </c>
      <c r="CG3">
        <f>IVCFlow!CG3-ArterialFlow!CG3</f>
        <v>1.182329086</v>
      </c>
      <c r="CH3">
        <f>IVCFlow!CH3-ArterialFlow!CH3</f>
        <v>1.257629892</v>
      </c>
      <c r="CI3">
        <f>IVCFlow!CI3-ArterialFlow!CI3</f>
        <v>1.200981106</v>
      </c>
      <c r="CJ3">
        <f>IVCFlow!CJ3-ArterialFlow!CJ3</f>
        <v>1.0296413709999999</v>
      </c>
      <c r="CK3">
        <v>0</v>
      </c>
      <c r="CL3">
        <f>AVERAGE(B3:CJ3)</f>
        <v>1.1179937697782367</v>
      </c>
      <c r="CM3">
        <f t="shared" ref="CM3:CM21" si="1">STDEV(B3:CJ3)</f>
        <v>0.20466656254528121</v>
      </c>
      <c r="CN3">
        <f t="shared" ref="CN3:CN21" si="2">CM3/SQRT(COUNT(B3:CJ3))</f>
        <v>2.2199205556559239E-2</v>
      </c>
    </row>
    <row r="4" spans="1:97" x14ac:dyDescent="0.25">
      <c r="A4">
        <v>1</v>
      </c>
      <c r="B4">
        <f>IVCFlow!B4-ArterialFlow!B4</f>
        <v>1.0610643407651619</v>
      </c>
      <c r="C4">
        <f>IVCFlow!C4-ArterialFlow!C4</f>
        <v>0.90525820300000004</v>
      </c>
      <c r="D4">
        <f>IVCFlow!D4-ArterialFlow!D4</f>
        <v>1.0076972389999999</v>
      </c>
      <c r="E4">
        <f>IVCFlow!E4-ArterialFlow!E4</f>
        <v>1.1695722499999999</v>
      </c>
      <c r="F4">
        <f>IVCFlow!F4-ArterialFlow!F4</f>
        <v>1.0022345029999999</v>
      </c>
      <c r="G4">
        <f>IVCFlow!G4-ArterialFlow!G4</f>
        <v>1.0022345029999999</v>
      </c>
      <c r="H4">
        <f>IVCFlow!H4-ArterialFlow!H4</f>
        <v>1.1563434239999999</v>
      </c>
      <c r="I4">
        <f>IVCFlow!I4-ArterialFlow!I4</f>
        <v>1.0467794220000002</v>
      </c>
      <c r="J4">
        <f>IVCFlow!J4-ArterialFlow!J4</f>
        <v>1.003211117</v>
      </c>
      <c r="K4">
        <f>IVCFlow!K4-ArterialFlow!K4</f>
        <v>0.90256111000000006</v>
      </c>
      <c r="L4">
        <f>IVCFlow!L4-ArterialFlow!L4</f>
        <v>0.99279399299999982</v>
      </c>
      <c r="M4">
        <f>IVCFlow!M4-ArterialFlow!M4</f>
        <v>0.95844636100000002</v>
      </c>
      <c r="N4">
        <f>IVCFlow!N4-ArterialFlow!N4</f>
        <v>0.89416898000000011</v>
      </c>
      <c r="O4">
        <f>IVCFlow!O4-ArterialFlow!O4</f>
        <v>1.1844385660000001</v>
      </c>
      <c r="P4">
        <f>IVCFlow!P4-ArterialFlow!P4</f>
        <v>1.01387546</v>
      </c>
      <c r="Q4">
        <f>IVCFlow!Q4-ArterialFlow!Q4</f>
        <v>0.79606635100000012</v>
      </c>
      <c r="R4">
        <f>IVCFlow!R4-ArterialFlow!R4</f>
        <v>0.84476097800000005</v>
      </c>
      <c r="S4">
        <f>IVCFlow!S4-ArterialFlow!S4</f>
        <v>1.166506117</v>
      </c>
      <c r="T4">
        <f>IVCFlow!T4-ArterialFlow!T4</f>
        <v>1.0414785070000001</v>
      </c>
      <c r="U4">
        <f>IVCFlow!U4-ArterialFlow!U4</f>
        <v>1.1153861140000001</v>
      </c>
      <c r="V4">
        <f>IVCFlow!V4-ArterialFlow!V4</f>
        <v>1.0126750009999999</v>
      </c>
      <c r="W4">
        <f>IVCFlow!W4-ArterialFlow!W4</f>
        <v>1.20119676</v>
      </c>
      <c r="X4">
        <f>IVCFlow!X4-ArterialFlow!X4</f>
        <v>1.1545644389999998</v>
      </c>
      <c r="Y4">
        <f>IVCFlow!Y4-ArterialFlow!Y4</f>
        <v>0.9949137480000001</v>
      </c>
      <c r="Z4">
        <f>IVCFlow!Z4-ArterialFlow!Z4</f>
        <v>1.0792378999999999</v>
      </c>
      <c r="AB4">
        <f>IVCFlow!AB4-ArterialFlow!AB4</f>
        <v>1.2904322340000001</v>
      </c>
      <c r="AC4">
        <f>IVCFlow!AC4-ArterialFlow!AC4</f>
        <v>1.1100418849999998</v>
      </c>
      <c r="AD4">
        <f>IVCFlow!AD4-ArterialFlow!AD4</f>
        <v>1.0785295220000002</v>
      </c>
      <c r="AE4">
        <f>IVCFlow!AE4-ArterialFlow!AE4</f>
        <v>1.1311694480000001</v>
      </c>
      <c r="AF4">
        <f>IVCFlow!AF4-ArterialFlow!AF4</f>
        <v>0.63652173599999995</v>
      </c>
      <c r="AG4">
        <f>IVCFlow!AG4-ArterialFlow!AG4</f>
        <v>1.135009734</v>
      </c>
      <c r="AH4">
        <f>IVCFlow!AH4-ArterialFlow!AH4</f>
        <v>1.2725750819999999</v>
      </c>
      <c r="AI4">
        <f>IVCFlow!AI4-ArterialFlow!AI4</f>
        <v>1.2517527800000001</v>
      </c>
      <c r="AJ4">
        <f>IVCFlow!AJ4-ArterialFlow!AJ4</f>
        <v>1.1827093179999999</v>
      </c>
      <c r="AK4">
        <f>IVCFlow!AK4-ArterialFlow!AK4</f>
        <v>0.99857022100000004</v>
      </c>
      <c r="AL4">
        <f>IVCFlow!AL4-ArterialFlow!AL4</f>
        <v>1.1871846150000001</v>
      </c>
      <c r="AM4">
        <f>IVCFlow!AM4-ArterialFlow!AM4</f>
        <v>0.95766667500000002</v>
      </c>
      <c r="AN4">
        <f>IVCFlow!AN4-ArterialFlow!AN4</f>
        <v>1.0626188510000001</v>
      </c>
      <c r="AO4">
        <f>IVCFlow!AO4-ArterialFlow!AO4</f>
        <v>1.0267752780000001</v>
      </c>
      <c r="AP4">
        <f>IVCFlow!AP4-ArterialFlow!AP4</f>
        <v>1.0531138869999999</v>
      </c>
      <c r="AQ4">
        <f>IVCFlow!AQ4-ArterialFlow!AQ4</f>
        <v>1.1253999889999999</v>
      </c>
      <c r="AR4">
        <f>IVCFlow!AR4-ArterialFlow!AR4</f>
        <v>1.083836947</v>
      </c>
      <c r="AS4">
        <f>IVCFlow!AS4-ArterialFlow!AS4</f>
        <v>1.121111121</v>
      </c>
      <c r="AT4">
        <f>IVCFlow!AT4-ArterialFlow!AT4</f>
        <v>0.97005833600000013</v>
      </c>
      <c r="AU4">
        <f>IVCFlow!AU4-ArterialFlow!AU4</f>
        <v>1.2773250060000001</v>
      </c>
      <c r="AV4">
        <f>IVCFlow!AV4-ArterialFlow!AV4</f>
        <v>1.1100222319999999</v>
      </c>
      <c r="AW4">
        <f>IVCFlow!AW4-ArterialFlow!AW4</f>
        <v>1.1452055560000001</v>
      </c>
      <c r="AY4">
        <f>IVCFlow!AY4-ArterialFlow!AY4</f>
        <v>1.2884527750000001</v>
      </c>
      <c r="AZ4">
        <f>IVCFlow!AZ4-ArterialFlow!AZ4</f>
        <v>1.1885487960000001</v>
      </c>
      <c r="BA4">
        <f>IVCFlow!BA4-ArterialFlow!BA4</f>
        <v>1.0783856650000001</v>
      </c>
      <c r="BB4">
        <f>IVCFlow!BB4-ArterialFlow!BB4</f>
        <v>1.053517807</v>
      </c>
      <c r="BC4">
        <f>IVCFlow!BC4-ArterialFlow!BC4</f>
        <v>1.2927581770000001</v>
      </c>
      <c r="BD4">
        <f>IVCFlow!BD4-ArterialFlow!BD4</f>
        <v>1.0427286490000001</v>
      </c>
      <c r="BE4">
        <f>IVCFlow!BE4-ArterialFlow!BE4</f>
        <v>1.0828813960000001</v>
      </c>
      <c r="BF4">
        <f>IVCFlow!BF4-ArterialFlow!BF4</f>
        <v>1.0165711899999998</v>
      </c>
      <c r="BG4">
        <f>IVCFlow!BG4-ArterialFlow!BG4</f>
        <v>2.3829180189999999</v>
      </c>
      <c r="BH4">
        <f>IVCFlow!BH4-ArterialFlow!BH4</f>
        <v>1.3111111209999999</v>
      </c>
      <c r="BI4">
        <f>IVCFlow!BI4-ArterialFlow!BI4</f>
        <v>1.3855944130000002</v>
      </c>
      <c r="BJ4">
        <f>IVCFlow!BJ4-ArterialFlow!BJ4</f>
        <v>1.376387896</v>
      </c>
      <c r="BK4">
        <f>IVCFlow!BK4-ArterialFlow!BK4</f>
        <v>1.3114388749999999</v>
      </c>
      <c r="BL4">
        <f>IVCFlow!BL4-ArterialFlow!BL4</f>
        <v>1.0707888890000001</v>
      </c>
      <c r="BM4">
        <f>IVCFlow!BM4-ArterialFlow!BM4</f>
        <v>1.121111121</v>
      </c>
      <c r="BN4">
        <f>IVCFlow!BN4-ArterialFlow!BN4</f>
        <v>1.187524311</v>
      </c>
      <c r="BO4">
        <f>IVCFlow!BO4-ArterialFlow!BO4</f>
        <v>1.0913388879999999</v>
      </c>
      <c r="BP4">
        <f>IVCFlow!BP4-ArterialFlow!BP4</f>
        <v>1.1311694480000001</v>
      </c>
      <c r="BQ4">
        <f>IVCFlow!BQ4-ArterialFlow!BQ4</f>
        <v>0.60458332799999992</v>
      </c>
      <c r="BR4">
        <f>IVCFlow!BR4-ArterialFlow!BR4</f>
        <v>1.2725861100000002</v>
      </c>
      <c r="BS4">
        <f>IVCFlow!BS4-ArterialFlow!BS4</f>
        <v>1.134952782</v>
      </c>
      <c r="BT4">
        <f>IVCFlow!BT4-ArterialFlow!BT4</f>
        <v>1.2517527800000001</v>
      </c>
      <c r="BU4">
        <f>IVCFlow!BU4-ArterialFlow!BU4</f>
        <v>1.085816669</v>
      </c>
      <c r="BV4">
        <f>IVCFlow!BV4-ArterialFlow!BV4</f>
        <v>1.1826111109999999</v>
      </c>
      <c r="BW4">
        <f>IVCFlow!BW4-ArterialFlow!BW4</f>
        <v>1.0303333350000001</v>
      </c>
      <c r="BX4">
        <f>IVCFlow!BX4-ArterialFlow!BX4</f>
        <v>0.998607931</v>
      </c>
      <c r="BY4">
        <f>IVCFlow!BY4-ArterialFlow!BY4</f>
        <v>1.1954555339999999</v>
      </c>
      <c r="BZ4">
        <v>1.5452388770000001</v>
      </c>
      <c r="CA4">
        <f>IVCFlow!CA4-ArterialFlow!CA4</f>
        <v>0.98915278100000004</v>
      </c>
      <c r="CB4">
        <f>IVCFlow!CB4-ArterialFlow!CB4</f>
        <v>1.061314978</v>
      </c>
      <c r="CC4">
        <f>IVCFlow!CC4-ArterialFlow!CC4</f>
        <v>1.0269624450000001</v>
      </c>
      <c r="CD4">
        <f>IVCFlow!CD4-ArterialFlow!CD4</f>
        <v>1.148571443</v>
      </c>
      <c r="CE4">
        <f>IVCFlow!CE4-ArterialFlow!CE4</f>
        <v>1.154655556</v>
      </c>
      <c r="CF4">
        <f>IVCFlow!CF4-ArterialFlow!CF4</f>
        <v>1.2025090230000002</v>
      </c>
      <c r="CG4">
        <f>IVCFlow!CG4-ArterialFlow!CG4</f>
        <v>1.2773250060000001</v>
      </c>
      <c r="CH4">
        <f>IVCFlow!CH4-ArterialFlow!CH4</f>
        <v>1.2884527750000001</v>
      </c>
      <c r="CI4">
        <f>IVCFlow!CI4-ArterialFlow!CI4</f>
        <v>1.188675006</v>
      </c>
      <c r="CJ4">
        <f>IVCFlow!CJ4-ArterialFlow!CJ4</f>
        <v>1.079044447</v>
      </c>
      <c r="CK4">
        <v>1</v>
      </c>
      <c r="CL4">
        <f>AVERAGE(B4:CJ4)</f>
        <v>1.118199119914884</v>
      </c>
      <c r="CM4">
        <f t="shared" si="1"/>
        <v>0.20215832524909044</v>
      </c>
      <c r="CN4">
        <f t="shared" si="2"/>
        <v>2.1927149024068997E-2</v>
      </c>
    </row>
    <row r="5" spans="1:97" x14ac:dyDescent="0.25">
      <c r="A5">
        <v>2</v>
      </c>
      <c r="B5">
        <f>IVCFlow!B5-ArterialFlow!B5</f>
        <v>0.96789869010300089</v>
      </c>
      <c r="C5">
        <f>IVCFlow!C5-ArterialFlow!C5</f>
        <v>0.88602141500000009</v>
      </c>
      <c r="D5">
        <f>IVCFlow!D5-ArterialFlow!D5</f>
        <v>0.95857545799999988</v>
      </c>
      <c r="E5">
        <f>IVCFlow!E5-ArterialFlow!E5</f>
        <v>1.147396522</v>
      </c>
      <c r="F5">
        <f>IVCFlow!F5-ArterialFlow!F5</f>
        <v>0.94493291999999984</v>
      </c>
      <c r="G5">
        <f>IVCFlow!G5-ArterialFlow!G5</f>
        <v>0.94493291999999984</v>
      </c>
      <c r="H5">
        <f>IVCFlow!H5-ArterialFlow!H5</f>
        <v>1.168291193</v>
      </c>
      <c r="I5">
        <f>IVCFlow!I5-ArterialFlow!I5</f>
        <v>1.0405685579999999</v>
      </c>
      <c r="J5">
        <f>IVCFlow!J5-ArterialFlow!J5</f>
        <v>1.0249944439999998</v>
      </c>
      <c r="K5">
        <f>IVCFlow!K5-ArterialFlow!K5</f>
        <v>0.89578333499999996</v>
      </c>
      <c r="L5">
        <f>IVCFlow!L5-ArterialFlow!L5</f>
        <v>0.98379099199999998</v>
      </c>
      <c r="M5">
        <f>IVCFlow!M5-ArterialFlow!M5</f>
        <v>0.95282578999999989</v>
      </c>
      <c r="N5">
        <f>IVCFlow!N5-ArterialFlow!N5</f>
        <v>0.93955487100000012</v>
      </c>
      <c r="O5">
        <f>IVCFlow!O5-ArterialFlow!O5</f>
        <v>1.225932917</v>
      </c>
      <c r="P5">
        <f>IVCFlow!P5-ArterialFlow!P5</f>
        <v>0.95090555799999987</v>
      </c>
      <c r="Q5">
        <f>IVCFlow!Q5-ArterialFlow!Q5</f>
        <v>1.0589583309999999</v>
      </c>
      <c r="R5">
        <f>IVCFlow!R5-ArterialFlow!R5</f>
        <v>0.8137777799999999</v>
      </c>
      <c r="S5">
        <f>IVCFlow!S5-ArterialFlow!S5</f>
        <v>1.1881135229999999</v>
      </c>
      <c r="T5">
        <f>IVCFlow!T5-ArterialFlow!T5</f>
        <v>1.1334806799999999</v>
      </c>
      <c r="U5">
        <f>IVCFlow!U5-ArterialFlow!U5</f>
        <v>1.098226301</v>
      </c>
      <c r="V5">
        <f>IVCFlow!V5-ArterialFlow!V5</f>
        <v>0.75570277099999994</v>
      </c>
      <c r="W5">
        <f>IVCFlow!W5-ArterialFlow!W5</f>
        <v>1.2327032279999999</v>
      </c>
      <c r="X5">
        <f>IVCFlow!X5-ArterialFlow!X5</f>
        <v>1.155732577</v>
      </c>
      <c r="Y5">
        <f>IVCFlow!Y5-ArterialFlow!Y5</f>
        <v>1.0422651439999999</v>
      </c>
      <c r="Z5">
        <f>IVCFlow!Z5-ArterialFlow!Z5</f>
        <v>1.0916915189999998</v>
      </c>
      <c r="AB5">
        <f>IVCFlow!AB5-ArterialFlow!AB5</f>
        <v>1.3117515880000001</v>
      </c>
      <c r="AC5">
        <f>IVCFlow!AC5-ArterialFlow!AC5</f>
        <v>1.0986949770000001</v>
      </c>
      <c r="AD5">
        <f>IVCFlow!AD5-ArterialFlow!AD5</f>
        <v>1.1723529260000001</v>
      </c>
      <c r="AE5">
        <f>IVCFlow!AE5-ArterialFlow!AE5</f>
        <v>1.1268204609999999</v>
      </c>
      <c r="AF5">
        <f>IVCFlow!AF5-ArterialFlow!AF5</f>
        <v>1.055349292</v>
      </c>
      <c r="AG5">
        <f>IVCFlow!AG5-ArterialFlow!AG5</f>
        <v>1.1450099869999999</v>
      </c>
      <c r="AH5">
        <f>IVCFlow!AH5-ArterialFlow!AH5</f>
        <v>1.2269797140000001</v>
      </c>
      <c r="AI5">
        <f>IVCFlow!AI5-ArterialFlow!AI5</f>
        <v>1.316308335</v>
      </c>
      <c r="AJ5">
        <f>IVCFlow!AJ5-ArterialFlow!AJ5</f>
        <v>1.2144382610000002</v>
      </c>
      <c r="AK5">
        <f>IVCFlow!AK5-ArterialFlow!AK5</f>
        <v>1.0236985489999999</v>
      </c>
      <c r="AL5">
        <f>IVCFlow!AL5-ArterialFlow!AL5</f>
        <v>1.2130625909999999</v>
      </c>
      <c r="AM5">
        <f>IVCFlow!AM5-ArterialFlow!AM5</f>
        <v>0.95750555800000003</v>
      </c>
      <c r="AN5">
        <f>IVCFlow!AN5-ArterialFlow!AN5</f>
        <v>1.09254998</v>
      </c>
      <c r="AO5">
        <f>IVCFlow!AO5-ArterialFlow!AO5</f>
        <v>1.0722517090000001</v>
      </c>
      <c r="AP5">
        <f>IVCFlow!AP5-ArterialFlow!AP5</f>
        <v>1.12881944</v>
      </c>
      <c r="AQ5">
        <f>IVCFlow!AQ5-ArterialFlow!AQ5</f>
        <v>1.154077767</v>
      </c>
      <c r="AR5">
        <f>IVCFlow!AR5-ArterialFlow!AR5</f>
        <v>0.49729827599999998</v>
      </c>
      <c r="AS5">
        <f>IVCFlow!AS5-ArterialFlow!AS5</f>
        <v>1.1528750149999998</v>
      </c>
      <c r="AT5">
        <f>IVCFlow!AT5-ArterialFlow!AT5</f>
        <v>0.77298416300000006</v>
      </c>
      <c r="AU5">
        <f>IVCFlow!AU5-ArterialFlow!AU5</f>
        <v>1.288078965</v>
      </c>
      <c r="AV5">
        <f>IVCFlow!AV5-ArterialFlow!AV5</f>
        <v>1.0750583969999998</v>
      </c>
      <c r="AW5">
        <f>IVCFlow!AW5-ArterialFlow!AW5</f>
        <v>1.1791194629999999</v>
      </c>
      <c r="AY5">
        <f>IVCFlow!AY5-ArterialFlow!AY5</f>
        <v>1.2940555570000001</v>
      </c>
      <c r="AZ5">
        <f>IVCFlow!AZ5-ArterialFlow!AZ5</f>
        <v>1.2362406130000001</v>
      </c>
      <c r="BA5">
        <f>IVCFlow!BA5-ArterialFlow!BA5</f>
        <v>1.1104222259999998</v>
      </c>
      <c r="BB5">
        <f>IVCFlow!BB5-ArterialFlow!BB5</f>
        <v>1.099533611</v>
      </c>
      <c r="BC5">
        <f>IVCFlow!BC5-ArterialFlow!BC5</f>
        <v>1.281792767</v>
      </c>
      <c r="BD5">
        <f>IVCFlow!BD5-ArterialFlow!BD5</f>
        <v>0.98242243500000004</v>
      </c>
      <c r="BE5">
        <f>IVCFlow!BE5-ArterialFlow!BE5</f>
        <v>1.0937576710000001</v>
      </c>
      <c r="BF5">
        <f>IVCFlow!BF5-ArterialFlow!BF5</f>
        <v>1.029181967</v>
      </c>
      <c r="BG5">
        <f>IVCFlow!BG5-ArterialFlow!BG5</f>
        <v>2.3647216589999998</v>
      </c>
      <c r="BH5">
        <f>IVCFlow!BH5-ArterialFlow!BH5</f>
        <v>1.3076055710000001</v>
      </c>
      <c r="BI5">
        <f>IVCFlow!BI5-ArterialFlow!BI5</f>
        <v>1.4073017640000001</v>
      </c>
      <c r="BL5">
        <f>IVCFlow!BL5-ArterialFlow!BL5</f>
        <v>1.09377222</v>
      </c>
      <c r="BM5">
        <f>IVCFlow!BM5-ArterialFlow!BM5</f>
        <v>1.1528750149999998</v>
      </c>
      <c r="BN5">
        <f>IVCFlow!BN5-ArterialFlow!BN5</f>
        <v>1.1942583329999998</v>
      </c>
      <c r="BO5">
        <f>IVCFlow!BO5-ArterialFlow!BO5</f>
        <v>1.117225001</v>
      </c>
      <c r="BP5">
        <f>IVCFlow!BP5-ArterialFlow!BP5</f>
        <v>1.1268277819999999</v>
      </c>
      <c r="BQ5">
        <f>IVCFlow!BQ5-ArterialFlow!BQ5</f>
        <v>1.055334816</v>
      </c>
      <c r="BR5">
        <f>IVCFlow!BR5-ArterialFlow!BR5</f>
        <v>1.2269722190000001</v>
      </c>
      <c r="BS5">
        <f>IVCFlow!BS5-ArterialFlow!BS5</f>
        <v>1.1450432990000001</v>
      </c>
      <c r="BT5">
        <f>IVCFlow!BT5-ArterialFlow!BT5</f>
        <v>1.316308335</v>
      </c>
      <c r="BU5">
        <f>IVCFlow!BU5-ArterialFlow!BU5</f>
        <v>1.097427784</v>
      </c>
      <c r="BV5">
        <f>IVCFlow!BV5-ArterialFlow!BV5</f>
        <v>1.214526006</v>
      </c>
      <c r="BW5">
        <f>IVCFlow!BW5-ArterialFlow!BW5</f>
        <v>1.0534527790000001</v>
      </c>
      <c r="BX5">
        <f>IVCFlow!BX5-ArterialFlow!BX5</f>
        <v>1.0237388839999999</v>
      </c>
      <c r="BY5">
        <f>IVCFlow!BY5-ArterialFlow!BY5</f>
        <v>1.210411224</v>
      </c>
      <c r="BZ5">
        <v>1.588422225</v>
      </c>
      <c r="CA5">
        <f>IVCFlow!CA5-ArterialFlow!CA5</f>
        <v>0.99475528000000013</v>
      </c>
      <c r="CB5">
        <f>IVCFlow!CB5-ArterialFlow!CB5</f>
        <v>1.049313503</v>
      </c>
      <c r="CC5">
        <f>IVCFlow!CC5-ArterialFlow!CC5</f>
        <v>1.072059831</v>
      </c>
      <c r="CD5">
        <f>IVCFlow!CD5-ArterialFlow!CD5</f>
        <v>1.1490105589999999</v>
      </c>
      <c r="CE5">
        <f>IVCFlow!CE5-ArterialFlow!CE5</f>
        <v>1.1664888860000002</v>
      </c>
      <c r="CF5">
        <f>IVCFlow!CF5-ArterialFlow!CF5</f>
        <v>1.1997611079999999</v>
      </c>
      <c r="CG5">
        <f>IVCFlow!CG5-ArterialFlow!CG5</f>
        <v>1.28810001</v>
      </c>
      <c r="CH5">
        <f>IVCFlow!CH5-ArterialFlow!CH5</f>
        <v>1.2940555570000001</v>
      </c>
      <c r="CI5">
        <f>IVCFlow!CI5-ArterialFlow!CI5</f>
        <v>1.2362350559999999</v>
      </c>
      <c r="CJ5">
        <f>IVCFlow!CJ5-ArterialFlow!CJ5</f>
        <v>1.1104222259999998</v>
      </c>
      <c r="CK5">
        <v>2</v>
      </c>
      <c r="CL5">
        <f t="shared" ref="CL5:CL22" si="3">AVERAGE(B5:CJ5)</f>
        <v>1.1236382726518432</v>
      </c>
      <c r="CM5">
        <f t="shared" si="1"/>
        <v>0.20618993489058177</v>
      </c>
      <c r="CN5">
        <f t="shared" si="2"/>
        <v>2.2632285620587143E-2</v>
      </c>
    </row>
    <row r="6" spans="1:97" x14ac:dyDescent="0.25">
      <c r="A6">
        <v>3</v>
      </c>
      <c r="B6">
        <f>IVCFlow!B6-ArterialFlow!B6</f>
        <v>0.69005656031686202</v>
      </c>
      <c r="C6">
        <f>IVCFlow!C6-ArterialFlow!C6</f>
        <v>0.86574270499999995</v>
      </c>
      <c r="D6">
        <f>IVCFlow!D6-ArterialFlow!D6</f>
        <v>0.96411895800000003</v>
      </c>
      <c r="E6">
        <f>IVCFlow!E6-ArterialFlow!E6</f>
        <v>1.0816296380000001</v>
      </c>
      <c r="F6">
        <f>IVCFlow!F6-ArterialFlow!F6</f>
        <v>1.027888892</v>
      </c>
      <c r="G6">
        <f>IVCFlow!G6-ArterialFlow!G6</f>
        <v>1.027888892</v>
      </c>
      <c r="H6">
        <f>IVCFlow!H6-ArterialFlow!H6</f>
        <v>1.182110657</v>
      </c>
      <c r="I6">
        <f>IVCFlow!I6-ArterialFlow!I6</f>
        <v>1.033861361</v>
      </c>
      <c r="J6">
        <f>IVCFlow!J6-ArterialFlow!J6</f>
        <v>1.0136555540000001</v>
      </c>
      <c r="K6">
        <f>IVCFlow!K6-ArterialFlow!K6</f>
        <v>0.92345978599999989</v>
      </c>
      <c r="L6">
        <f>IVCFlow!L6-ArterialFlow!L6</f>
        <v>0.93965248899999987</v>
      </c>
      <c r="M6">
        <f>IVCFlow!M6-ArterialFlow!M6</f>
        <v>0.94467630300000005</v>
      </c>
      <c r="N6">
        <f>IVCFlow!N6-ArterialFlow!N6</f>
        <v>0.90113055200000003</v>
      </c>
      <c r="O6">
        <f>IVCFlow!O6-ArterialFlow!O6</f>
        <v>1.2054100609999998</v>
      </c>
      <c r="P6">
        <f>IVCFlow!P6-ArterialFlow!P6</f>
        <v>1.0298392969999999</v>
      </c>
      <c r="Q6">
        <f>IVCFlow!Q6-ArterialFlow!Q6</f>
        <v>0.98507525099999993</v>
      </c>
      <c r="R6">
        <f>IVCFlow!R6-ArterialFlow!R6</f>
        <v>0.90683449099999991</v>
      </c>
      <c r="S6">
        <f>IVCFlow!S6-ArterialFlow!S6</f>
        <v>1.161343725</v>
      </c>
      <c r="T6">
        <f>IVCFlow!T6-ArterialFlow!T6</f>
        <v>1.086022225</v>
      </c>
      <c r="U6">
        <f>IVCFlow!U6-ArterialFlow!U6</f>
        <v>1.03981667</v>
      </c>
      <c r="V6">
        <f>IVCFlow!V6-ArterialFlow!V6</f>
        <v>0.73651110599999992</v>
      </c>
      <c r="W6">
        <f>IVCFlow!W6-ArterialFlow!W6</f>
        <v>1.1922621069999999</v>
      </c>
      <c r="X6">
        <f>IVCFlow!X6-ArterialFlow!X6</f>
        <v>1.114881708</v>
      </c>
      <c r="Y6">
        <f>IVCFlow!Y6-ArterialFlow!Y6</f>
        <v>1.04685468</v>
      </c>
      <c r="Z6">
        <f>IVCFlow!Z6-ArterialFlow!Z6</f>
        <v>1.050676223</v>
      </c>
      <c r="AB6">
        <f>IVCFlow!AB6-ArterialFlow!AB6</f>
        <v>1.268994138</v>
      </c>
      <c r="AC6">
        <f>IVCFlow!AC6-ArterialFlow!AC6</f>
        <v>1.090635832</v>
      </c>
      <c r="AD6">
        <f>IVCFlow!AD6-ArterialFlow!AD6</f>
        <v>1.178639473</v>
      </c>
      <c r="AE6">
        <f>IVCFlow!AE6-ArterialFlow!AE6</f>
        <v>1.181819204</v>
      </c>
      <c r="AF6">
        <f>IVCFlow!AF6-ArterialFlow!AF6</f>
        <v>1.044514339</v>
      </c>
      <c r="AH6">
        <f>IVCFlow!AH6-ArterialFlow!AH6</f>
        <v>1.2314794290000002</v>
      </c>
      <c r="AI6">
        <f>IVCFlow!AI6-ArterialFlow!AI6</f>
        <v>1.266683351</v>
      </c>
      <c r="AJ6">
        <f>IVCFlow!AJ6-ArterialFlow!AJ6</f>
        <v>1.1906232430000001</v>
      </c>
      <c r="AK6">
        <f>IVCFlow!AK6-ArterialFlow!AK6</f>
        <v>1.0020322799999999</v>
      </c>
      <c r="AL6">
        <f>IVCFlow!AL6-ArterialFlow!AL6</f>
        <v>1.201448472</v>
      </c>
      <c r="AM6">
        <f>IVCFlow!AM6-ArterialFlow!AM6</f>
        <v>0.9508027750000001</v>
      </c>
      <c r="AN6">
        <f>IVCFlow!AN6-ArterialFlow!AN6</f>
        <v>1.042322207</v>
      </c>
      <c r="AO6">
        <f>IVCFlow!AO6-ArterialFlow!AO6</f>
        <v>1.0286088760000001</v>
      </c>
      <c r="AP6">
        <f>IVCFlow!AP6-ArterialFlow!AP6</f>
        <v>1.11985555</v>
      </c>
      <c r="AQ6">
        <f>IVCFlow!AQ6-ArterialFlow!AQ6</f>
        <v>1.110433461</v>
      </c>
      <c r="AS6">
        <f>IVCFlow!AS6-ArterialFlow!AS6</f>
        <v>1.200402792</v>
      </c>
      <c r="AT6">
        <f>IVCFlow!AT6-ArterialFlow!AT6</f>
        <v>0.96458993400000015</v>
      </c>
      <c r="AU6">
        <f>IVCFlow!AU6-ArterialFlow!AU6</f>
        <v>1.297657686</v>
      </c>
      <c r="AV6">
        <f>IVCFlow!AV6-ArterialFlow!AV6</f>
        <v>1.0932666289999999</v>
      </c>
      <c r="AW6">
        <f>IVCFlow!AW6-ArterialFlow!AW6</f>
        <v>1.1565805249999999</v>
      </c>
      <c r="AY6">
        <f>IVCFlow!AY6-ArterialFlow!AY6</f>
        <v>1.267780589</v>
      </c>
      <c r="AZ6">
        <f>IVCFlow!AZ6-ArterialFlow!AZ6</f>
        <v>1.1651237829999999</v>
      </c>
      <c r="BA6">
        <f>IVCFlow!BA6-ArterialFlow!BA6</f>
        <v>1.023241665</v>
      </c>
      <c r="BB6">
        <f>IVCFlow!BB6-ArterialFlow!BB6</f>
        <v>1.0555860270000001</v>
      </c>
      <c r="BC6">
        <f>IVCFlow!BC6-ArterialFlow!BC6</f>
        <v>1.2785194419999999</v>
      </c>
      <c r="BD6">
        <f>IVCFlow!BD6-ArterialFlow!BD6</f>
        <v>0.97918843699999991</v>
      </c>
      <c r="BE6">
        <f>IVCFlow!BE6-ArterialFlow!BE6</f>
        <v>1.047902111</v>
      </c>
      <c r="BF6">
        <f>IVCFlow!BF6-ArterialFlow!BF6</f>
        <v>1.1291747860000001</v>
      </c>
      <c r="BG6">
        <f>IVCFlow!BG6-ArterialFlow!BG6</f>
        <v>0.56001950500000008</v>
      </c>
      <c r="BH6">
        <f>IVCFlow!BH6-ArterialFlow!BH6</f>
        <v>1.301711134</v>
      </c>
      <c r="BI6">
        <f>IVCFlow!BI6-ArterialFlow!BI6</f>
        <v>1.4079333380000001</v>
      </c>
      <c r="BL6">
        <f>IVCFlow!BL6-ArterialFlow!BL6</f>
        <v>1.0899527770000002</v>
      </c>
      <c r="BM6">
        <f>IVCFlow!BM6-ArterialFlow!BM6</f>
        <v>1.200402792</v>
      </c>
      <c r="BN6">
        <f>IVCFlow!BN6-ArterialFlow!BN6</f>
        <v>1.1792025419999999</v>
      </c>
      <c r="BO6">
        <f>IVCFlow!BO6-ArterialFlow!BO6</f>
        <v>1.0634222250000001</v>
      </c>
      <c r="BP6">
        <f>IVCFlow!BP6-ArterialFlow!BP6</f>
        <v>1.1818194559999999</v>
      </c>
      <c r="BQ6">
        <f>IVCFlow!BQ6-ArterialFlow!BQ6</f>
        <v>1.0444833389999999</v>
      </c>
      <c r="BR6">
        <f>IVCFlow!BR6-ArterialFlow!BR6</f>
        <v>1.2314861180000001</v>
      </c>
      <c r="BT6">
        <f>IVCFlow!BT6-ArterialFlow!BT6</f>
        <v>1.266683351</v>
      </c>
      <c r="BU6">
        <f>IVCFlow!BU6-ArterialFlow!BU6</f>
        <v>1.0820027679999999</v>
      </c>
      <c r="BV6">
        <f>IVCFlow!BV6-ArterialFlow!BV6</f>
        <v>1.1905944270000002</v>
      </c>
      <c r="BW6">
        <f>IVCFlow!BW6-ArterialFlow!BW6</f>
        <v>1.054195604</v>
      </c>
      <c r="BX6">
        <f>IVCFlow!BX6-ArterialFlow!BX6</f>
        <v>1.000791698</v>
      </c>
      <c r="BY6">
        <f>IVCFlow!BY6-ArterialFlow!BY6</f>
        <v>1.2116680560000002</v>
      </c>
      <c r="BZ6">
        <v>1.5703861139999999</v>
      </c>
      <c r="CA6">
        <f>IVCFlow!CA6-ArterialFlow!CA6</f>
        <v>0.98773611199999989</v>
      </c>
      <c r="CB6">
        <f>IVCFlow!CB6-ArterialFlow!CB6</f>
        <v>1.0246900159999999</v>
      </c>
      <c r="CC6">
        <f>IVCFlow!CC6-ArterialFlow!CC6</f>
        <v>1.0284713839999999</v>
      </c>
      <c r="CD6">
        <f>IVCFlow!CD6-ArterialFlow!CD6</f>
        <v>1.1796193240000001</v>
      </c>
      <c r="CE6">
        <f>IVCFlow!CE6-ArterialFlow!CE6</f>
        <v>1.125930549</v>
      </c>
      <c r="CF6">
        <f>IVCFlow!CF6-ArterialFlow!CF6</f>
        <v>1.2259972350000001</v>
      </c>
      <c r="CG6">
        <f>IVCFlow!CG6-ArterialFlow!CG6</f>
        <v>1.2976632429999999</v>
      </c>
      <c r="CH6">
        <f>IVCFlow!CH6-ArterialFlow!CH6</f>
        <v>1.2677799729999999</v>
      </c>
      <c r="CI6">
        <f>IVCFlow!CI6-ArterialFlow!CI6</f>
        <v>1.1651708799999998</v>
      </c>
      <c r="CJ6">
        <f>IVCFlow!CJ6-ArterialFlow!CJ6</f>
        <v>1.02321478</v>
      </c>
      <c r="CK6">
        <v>3</v>
      </c>
      <c r="CL6">
        <f t="shared" si="3"/>
        <v>1.0960291958414603</v>
      </c>
      <c r="CM6">
        <f t="shared" si="1"/>
        <v>0.15085415852828307</v>
      </c>
      <c r="CN6">
        <f t="shared" si="2"/>
        <v>1.6866007657888527E-2</v>
      </c>
    </row>
    <row r="7" spans="1:97" x14ac:dyDescent="0.25">
      <c r="A7">
        <v>4</v>
      </c>
      <c r="D7">
        <f>IVCFlow!D7-ArterialFlow!D7</f>
        <v>0.91459850100000017</v>
      </c>
      <c r="F7">
        <f>IVCFlow!F7-ArterialFlow!F7</f>
        <v>1.085733343</v>
      </c>
      <c r="G7">
        <f>IVCFlow!G7-ArterialFlow!G7</f>
        <v>1.085733343</v>
      </c>
      <c r="H7">
        <f>IVCFlow!H7-ArterialFlow!H7</f>
        <v>1.159479535</v>
      </c>
      <c r="I7">
        <f>IVCFlow!I7-ArterialFlow!I7</f>
        <v>1.0317288410000001</v>
      </c>
      <c r="J7">
        <f>IVCFlow!J7-ArterialFlow!J7</f>
        <v>1.0176277740000002</v>
      </c>
      <c r="K7">
        <f>IVCFlow!K7-ArterialFlow!K7</f>
        <v>0.8981313689999999</v>
      </c>
      <c r="L7">
        <f>IVCFlow!L7-ArterialFlow!L7</f>
        <v>0.94050319699999996</v>
      </c>
      <c r="M7">
        <f>IVCFlow!M7-ArterialFlow!M7</f>
        <v>0.93400723199999991</v>
      </c>
      <c r="N7">
        <f>IVCFlow!N7-ArterialFlow!N7</f>
        <v>0.86273209999999989</v>
      </c>
      <c r="O7">
        <f>IVCFlow!O7-ArterialFlow!O7</f>
        <v>1.1457079029999999</v>
      </c>
      <c r="P7">
        <f>IVCFlow!P7-ArterialFlow!P7</f>
        <v>1.0845771289999999</v>
      </c>
      <c r="Q7">
        <f>IVCFlow!Q7-ArterialFlow!Q7</f>
        <v>1.052630248</v>
      </c>
      <c r="R7">
        <f>IVCFlow!R7-ArterialFlow!R7</f>
        <v>0.87246384700000013</v>
      </c>
      <c r="S7">
        <f>IVCFlow!S7-ArterialFlow!S7</f>
        <v>1.145613859</v>
      </c>
      <c r="T7">
        <f>IVCFlow!T7-ArterialFlow!T7</f>
        <v>1.0828222199999999</v>
      </c>
      <c r="U7">
        <f>IVCFlow!U7-ArterialFlow!U7</f>
        <v>1.024107839</v>
      </c>
      <c r="V7">
        <f>IVCFlow!V7-ArterialFlow!V7</f>
        <v>0.73258610800000001</v>
      </c>
      <c r="W7">
        <f>IVCFlow!W7-ArterialFlow!W7</f>
        <v>1.16841317</v>
      </c>
      <c r="X7">
        <f>IVCFlow!X7-ArterialFlow!X7</f>
        <v>1.014376368</v>
      </c>
      <c r="Y7">
        <f>IVCFlow!Y7-ArterialFlow!Y7</f>
        <v>1.0349055050000002</v>
      </c>
      <c r="AB7">
        <f>IVCFlow!AB7-ArterialFlow!AB7</f>
        <v>1.2266545690000001</v>
      </c>
      <c r="AC7">
        <f>IVCFlow!AC7-ArterialFlow!AC7</f>
        <v>1.1625797019999999</v>
      </c>
      <c r="AD7">
        <f>IVCFlow!AD7-ArterialFlow!AD7</f>
        <v>1.1533117500000001</v>
      </c>
      <c r="AE7">
        <f>IVCFlow!AE7-ArterialFlow!AE7</f>
        <v>1.1646955499999998</v>
      </c>
      <c r="AF7">
        <f>IVCFlow!AF7-ArterialFlow!AF7</f>
        <v>0.94943795399999997</v>
      </c>
      <c r="AH7">
        <f>IVCFlow!AH7-ArterialFlow!AH7</f>
        <v>1.232746737</v>
      </c>
      <c r="AI7">
        <f>IVCFlow!AI7-ArterialFlow!AI7</f>
        <v>1.2476638870000001</v>
      </c>
      <c r="AJ7">
        <f>IVCFlow!AJ7-ArterialFlow!AJ7</f>
        <v>1.1442817670000001</v>
      </c>
      <c r="AK7">
        <f>IVCFlow!AK7-ArterialFlow!AK7</f>
        <v>0.99019477999999994</v>
      </c>
      <c r="AL7">
        <f>IVCFlow!AL7-ArterialFlow!AL7</f>
        <v>1.2145894849999999</v>
      </c>
      <c r="AM7">
        <f>IVCFlow!AM7-ArterialFlow!AM7</f>
        <v>0.90431388899999998</v>
      </c>
      <c r="AN7">
        <f>IVCFlow!AN7-ArterialFlow!AN7</f>
        <v>1.1800222119999999</v>
      </c>
      <c r="AO7">
        <f>IVCFlow!AO7-ArterialFlow!AO7</f>
        <v>1.0253528879999998</v>
      </c>
      <c r="AP7">
        <f>IVCFlow!AP7-ArterialFlow!AP7</f>
        <v>1.0737148219999999</v>
      </c>
      <c r="AQ7">
        <f>IVCFlow!AQ7-ArterialFlow!AQ7</f>
        <v>1.0684801320000001</v>
      </c>
      <c r="AS7">
        <f>IVCFlow!AS7-ArterialFlow!AS7</f>
        <v>1.2657333589999999</v>
      </c>
      <c r="AT7">
        <f>IVCFlow!AT7-ArterialFlow!AT7</f>
        <v>0.96919610300000003</v>
      </c>
      <c r="AU7">
        <f>IVCFlow!AU7-ArterialFlow!AU7</f>
        <v>1.2637472590000001</v>
      </c>
      <c r="AV7">
        <f>IVCFlow!AV7-ArterialFlow!AV7</f>
        <v>0.99671856999999997</v>
      </c>
      <c r="AW7">
        <f>IVCFlow!AW7-ArterialFlow!AW7</f>
        <v>1.1538365349999999</v>
      </c>
      <c r="AY7">
        <f>IVCFlow!AY7-ArterialFlow!AY7</f>
        <v>1.2629777609999999</v>
      </c>
      <c r="AZ7">
        <f>IVCFlow!AZ7-ArterialFlow!AZ7</f>
        <v>1.1495993339999999</v>
      </c>
      <c r="BA7">
        <f>IVCFlow!BA7-ArterialFlow!BA7</f>
        <v>1.005363885</v>
      </c>
      <c r="BB7">
        <f>IVCFlow!BB7-ArterialFlow!BB7</f>
        <v>1.0623372419999999</v>
      </c>
      <c r="BC7">
        <f>IVCFlow!BC7-ArterialFlow!BC7</f>
        <v>1.2598750009999999</v>
      </c>
      <c r="BE7">
        <f>IVCFlow!BE7-ArterialFlow!BE7</f>
        <v>1.0333522930000001</v>
      </c>
      <c r="BF7">
        <f>IVCFlow!BF7-ArterialFlow!BF7</f>
        <v>0.97786429399999997</v>
      </c>
      <c r="BH7">
        <f>IVCFlow!BH7-ArterialFlow!BH7</f>
        <v>1.3002722489999998</v>
      </c>
      <c r="BI7">
        <f>IVCFlow!BI7-ArterialFlow!BI7</f>
        <v>1.425744449</v>
      </c>
      <c r="BL7">
        <f>IVCFlow!BL7-ArterialFlow!BL7</f>
        <v>1.0919527929999999</v>
      </c>
      <c r="BM7">
        <f>IVCFlow!BM7-ArterialFlow!BM7</f>
        <v>1.2657333589999999</v>
      </c>
      <c r="BN7">
        <f>IVCFlow!BN7-ArterialFlow!BN7</f>
        <v>1.1733888879999999</v>
      </c>
      <c r="BO7">
        <f>IVCFlow!BO7-ArterialFlow!BO7</f>
        <v>0.96536111300000016</v>
      </c>
      <c r="BP7">
        <f>IVCFlow!BP7-ArterialFlow!BP7</f>
        <v>1.1646971929999999</v>
      </c>
      <c r="BQ7">
        <f>IVCFlow!BQ7-ArterialFlow!BQ7</f>
        <v>0.94933314999999996</v>
      </c>
      <c r="BR7">
        <f>IVCFlow!BR7-ArterialFlow!BR7</f>
        <v>1.2327888929999999</v>
      </c>
      <c r="BT7">
        <f>IVCFlow!BT7-ArterialFlow!BT7</f>
        <v>1.2476638870000001</v>
      </c>
      <c r="BU7">
        <f>IVCFlow!BU7-ArterialFlow!BU7</f>
        <v>1.0848194089999998</v>
      </c>
      <c r="BV7">
        <f>IVCFlow!BV7-ArterialFlow!BV7</f>
        <v>1.1442778</v>
      </c>
      <c r="BW7">
        <f>IVCFlow!BW7-ArterialFlow!BW7</f>
        <v>1.0335982289999999</v>
      </c>
      <c r="BX7">
        <f>IVCFlow!BX7-ArterialFlow!BX7</f>
        <v>0.99019445500000003</v>
      </c>
      <c r="BY7">
        <f>IVCFlow!BY7-ArterialFlow!BY7</f>
        <v>1.2077444509999999</v>
      </c>
      <c r="BZ7">
        <v>1.584975005</v>
      </c>
      <c r="CA7">
        <f>IVCFlow!CA7-ArterialFlow!CA7</f>
        <v>0.95420950599999999</v>
      </c>
      <c r="CB7">
        <f>IVCFlow!CB7-ArterialFlow!CB7</f>
        <v>1.0229424839999999</v>
      </c>
      <c r="CC7">
        <f>IVCFlow!CC7-ArterialFlow!CC7</f>
        <v>1.025702779</v>
      </c>
      <c r="CD7">
        <f>IVCFlow!CD7-ArterialFlow!CD7</f>
        <v>1.198536104</v>
      </c>
      <c r="CE7">
        <f>IVCFlow!CE7-ArterialFlow!CE7</f>
        <v>1.1252222189999999</v>
      </c>
      <c r="CF7">
        <f>IVCFlow!CF7-ArterialFlow!CF7</f>
        <v>1.204070585</v>
      </c>
      <c r="CG7">
        <f>IVCFlow!CG7-ArterialFlow!CG7</f>
        <v>1.2637510780000001</v>
      </c>
      <c r="CH7">
        <f>IVCFlow!CH7-ArterialFlow!CH7</f>
        <v>1.2629777609999999</v>
      </c>
      <c r="CI7">
        <f>IVCFlow!CI7-ArterialFlow!CI7</f>
        <v>1.1496721319999998</v>
      </c>
      <c r="CJ7">
        <f>IVCFlow!CJ7-ArterialFlow!CJ7</f>
        <v>1.005363885</v>
      </c>
      <c r="CK7">
        <v>4</v>
      </c>
      <c r="CL7">
        <f t="shared" si="3"/>
        <v>1.1013799330675673</v>
      </c>
      <c r="CM7">
        <f t="shared" si="1"/>
        <v>0.13851373310060938</v>
      </c>
      <c r="CN7">
        <f t="shared" si="2"/>
        <v>1.6101894406537441E-2</v>
      </c>
    </row>
    <row r="8" spans="1:97" x14ac:dyDescent="0.25">
      <c r="A8">
        <v>5</v>
      </c>
      <c r="D8">
        <f>IVCFlow!D8-ArterialFlow!D8</f>
        <v>0.90895526900000001</v>
      </c>
      <c r="F8">
        <f>IVCFlow!F8-ArterialFlow!F8</f>
        <v>1.039149769</v>
      </c>
      <c r="G8">
        <f>IVCFlow!G8-ArterialFlow!G8</f>
        <v>1.039149769</v>
      </c>
      <c r="H8">
        <f>IVCFlow!H8-ArterialFlow!H8</f>
        <v>1.153049537</v>
      </c>
      <c r="I8">
        <f>IVCFlow!I8-ArterialFlow!I8</f>
        <v>1.01635579</v>
      </c>
      <c r="J8">
        <f>IVCFlow!J8-ArterialFlow!J8</f>
        <v>0.69461538600000006</v>
      </c>
      <c r="K8">
        <f>IVCFlow!K8-ArterialFlow!K8</f>
        <v>0.90257173499999999</v>
      </c>
      <c r="L8">
        <f>IVCFlow!L8-ArterialFlow!L8</f>
        <v>0.93264942800000006</v>
      </c>
      <c r="M8">
        <f>IVCFlow!M8-ArterialFlow!M8</f>
        <v>0.90063073000000005</v>
      </c>
      <c r="N8">
        <f>IVCFlow!N8-ArterialFlow!N8</f>
        <v>0.84230425999999992</v>
      </c>
      <c r="O8">
        <f>IVCFlow!O8-ArterialFlow!O8</f>
        <v>1.16278287</v>
      </c>
      <c r="P8">
        <f>IVCFlow!P8-ArterialFlow!P8</f>
        <v>1.1117783459999999</v>
      </c>
      <c r="Q8">
        <f>IVCFlow!Q8-ArterialFlow!Q8</f>
        <v>1.069404534</v>
      </c>
      <c r="R8">
        <f>IVCFlow!R8-ArterialFlow!R8</f>
        <v>0.87700305699999992</v>
      </c>
      <c r="S8">
        <f>IVCFlow!S8-ArterialFlow!S8</f>
        <v>1.1491888560000001</v>
      </c>
      <c r="T8">
        <f>IVCFlow!T8-ArterialFlow!T8</f>
        <v>1.0821138850000001</v>
      </c>
      <c r="U8">
        <f>IVCFlow!U8-ArterialFlow!U8</f>
        <v>0.99919978200000004</v>
      </c>
      <c r="V8">
        <f>IVCFlow!V8-ArterialFlow!V8</f>
        <v>0.72720833099999993</v>
      </c>
      <c r="W8">
        <f>IVCFlow!W8-ArterialFlow!W8</f>
        <v>1.1794899920000002</v>
      </c>
      <c r="Y8">
        <f>IVCFlow!Y8-ArterialFlow!Y8</f>
        <v>1.111462553</v>
      </c>
      <c r="AB8">
        <f>IVCFlow!AB8-ArterialFlow!AB8</f>
        <v>1.2323993959999999</v>
      </c>
      <c r="AD8">
        <f>IVCFlow!AD8-ArterialFlow!AD8</f>
        <v>1.145475976</v>
      </c>
      <c r="AE8">
        <f>IVCFlow!AE8-ArterialFlow!AE8</f>
        <v>1.1182195610000001</v>
      </c>
      <c r="AF8">
        <f>IVCFlow!AF8-ArterialFlow!AF8</f>
        <v>0.95175946700000003</v>
      </c>
      <c r="AH8">
        <f>IVCFlow!AH8-ArterialFlow!AH8</f>
        <v>1.0782999969999998</v>
      </c>
      <c r="AI8">
        <f>IVCFlow!AI8-ArterialFlow!AI8</f>
        <v>1.2532027569999999</v>
      </c>
      <c r="AJ8">
        <f>IVCFlow!AJ8-ArterialFlow!AJ8</f>
        <v>1.112039459</v>
      </c>
      <c r="AK8">
        <f>IVCFlow!AK8-ArterialFlow!AK8</f>
        <v>0.99987996599999995</v>
      </c>
      <c r="AL8">
        <f>IVCFlow!AL8-ArterialFlow!AL8</f>
        <v>1.187679427</v>
      </c>
      <c r="AM8">
        <f>IVCFlow!AM8-ArterialFlow!AM8</f>
        <v>0.90011389799999997</v>
      </c>
      <c r="AN8">
        <f>IVCFlow!AN8-ArterialFlow!AN8</f>
        <v>1.168905552</v>
      </c>
      <c r="AO8">
        <f>IVCFlow!AO8-ArterialFlow!AO8</f>
        <v>1.043112528</v>
      </c>
      <c r="AQ8">
        <f>IVCFlow!AQ8-ArterialFlow!AQ8</f>
        <v>0.90706521699999998</v>
      </c>
      <c r="AS8">
        <f>IVCFlow!AS8-ArterialFlow!AS8</f>
        <v>1.1034027880000001</v>
      </c>
      <c r="AT8">
        <f>IVCFlow!AT8-ArterialFlow!AT8</f>
        <v>0.95516944100000012</v>
      </c>
      <c r="AU8">
        <f>IVCFlow!AU8-ArterialFlow!AU8</f>
        <v>1.2509174590000001</v>
      </c>
      <c r="AV8">
        <f>IVCFlow!AV8-ArterialFlow!AV8</f>
        <v>1.025215443</v>
      </c>
      <c r="AW8">
        <f>IVCFlow!AW8-ArterialFlow!AW8</f>
        <v>1.1275326130000001</v>
      </c>
      <c r="AY8">
        <f>IVCFlow!AY8-ArterialFlow!AY8</f>
        <v>1.26325</v>
      </c>
      <c r="AZ8">
        <f>IVCFlow!AZ8-ArterialFlow!AZ8</f>
        <v>1.2101809809999999</v>
      </c>
      <c r="BA8">
        <f>IVCFlow!BA8-ArterialFlow!BA8</f>
        <v>1.0665027389999999</v>
      </c>
      <c r="BB8">
        <f>IVCFlow!BB8-ArterialFlow!BB8</f>
        <v>1.0562135619999999</v>
      </c>
      <c r="BE8">
        <f>IVCFlow!BE8-ArterialFlow!BE8</f>
        <v>1.0455469259999999</v>
      </c>
      <c r="BF8">
        <f>IVCFlow!BF8-ArterialFlow!BF8</f>
        <v>1.1305643830000001</v>
      </c>
      <c r="BH8">
        <f>IVCFlow!BH8-ArterialFlow!BH8</f>
        <v>1.2964778109999999</v>
      </c>
      <c r="BI8">
        <f>IVCFlow!BI8-ArterialFlow!BI8</f>
        <v>1.4102111150000001</v>
      </c>
      <c r="BL8">
        <f>IVCFlow!BL8-ArterialFlow!BL8</f>
        <v>0.81592222199999997</v>
      </c>
      <c r="BM8">
        <f>IVCFlow!BM8-ArterialFlow!BM8</f>
        <v>1.1034027880000001</v>
      </c>
      <c r="BN8">
        <f>IVCFlow!BN8-ArterialFlow!BN8</f>
        <v>1.184132551</v>
      </c>
      <c r="BO8">
        <f>IVCFlow!BO8-ArterialFlow!BO8</f>
        <v>0.9495805570000001</v>
      </c>
      <c r="BP8">
        <f>IVCFlow!BP8-ArterialFlow!BP8</f>
        <v>1.1182294509999999</v>
      </c>
      <c r="BQ8">
        <f>IVCFlow!BQ8-ArterialFlow!BQ8</f>
        <v>0.95174722399999989</v>
      </c>
      <c r="BR8">
        <f>IVCFlow!BR8-ArterialFlow!BR8</f>
        <v>1.0782999969999998</v>
      </c>
      <c r="BT8">
        <f>IVCFlow!BT8-ArterialFlow!BT8</f>
        <v>1.2532027569999999</v>
      </c>
      <c r="BU8">
        <f>IVCFlow!BU8-ArterialFlow!BU8</f>
        <v>1.0753416599999999</v>
      </c>
      <c r="BV8">
        <f>IVCFlow!BV8-ArterialFlow!BV8</f>
        <v>1.1120388919999999</v>
      </c>
      <c r="BW8">
        <f>IVCFlow!BW8-ArterialFlow!BW8</f>
        <v>1.0653083529999998</v>
      </c>
      <c r="BX8">
        <f>IVCFlow!BX8-ArterialFlow!BX8</f>
        <v>0.99986664400000003</v>
      </c>
      <c r="BY8">
        <f>IVCFlow!BY8-ArterialFlow!BY8</f>
        <v>1.1619194429999999</v>
      </c>
      <c r="BZ8">
        <v>1.552744409</v>
      </c>
      <c r="CA8">
        <f>IVCFlow!CA8-ArterialFlow!CA8</f>
        <v>1.010730549</v>
      </c>
      <c r="CB8">
        <f>IVCFlow!CB8-ArterialFlow!CB8</f>
        <v>1.0100027710000001</v>
      </c>
      <c r="CC8">
        <f>IVCFlow!CC8-ArterialFlow!CC8</f>
        <v>1.044152781</v>
      </c>
      <c r="CD8">
        <f>IVCFlow!CD8-ArterialFlow!CD8</f>
        <v>1.1588388860000001</v>
      </c>
      <c r="CE8">
        <f>IVCFlow!CE8-ArterialFlow!CE8</f>
        <v>1.076610171</v>
      </c>
      <c r="CF8">
        <f>IVCFlow!CF8-ArterialFlow!CF8</f>
        <v>1.1750209530000002</v>
      </c>
      <c r="CG8">
        <f>IVCFlow!CG8-ArterialFlow!CG8</f>
        <v>1.250908361</v>
      </c>
      <c r="CH8">
        <f>IVCFlow!CH8-ArterialFlow!CH8</f>
        <v>1.26325</v>
      </c>
      <c r="CI8">
        <f>IVCFlow!CI8-ArterialFlow!CI8</f>
        <v>1.2101920110000002</v>
      </c>
      <c r="CJ8">
        <f>IVCFlow!CJ8-ArterialFlow!CJ8</f>
        <v>1.0665027389999999</v>
      </c>
      <c r="CK8">
        <v>5</v>
      </c>
      <c r="CL8">
        <f t="shared" si="3"/>
        <v>1.0803764073</v>
      </c>
      <c r="CM8">
        <f t="shared" si="1"/>
        <v>0.14475480641770708</v>
      </c>
      <c r="CN8">
        <f t="shared" si="2"/>
        <v>1.7301508596910539E-2</v>
      </c>
    </row>
    <row r="9" spans="1:97" x14ac:dyDescent="0.25">
      <c r="A9">
        <v>6</v>
      </c>
      <c r="D9">
        <f>IVCFlow!D9-ArterialFlow!D9</f>
        <v>0.8002267460000001</v>
      </c>
      <c r="F9">
        <f>IVCFlow!F9-ArterialFlow!F9</f>
        <v>1.0829766620000001</v>
      </c>
      <c r="G9">
        <f>IVCFlow!G9-ArterialFlow!G9</f>
        <v>1.0829766620000001</v>
      </c>
      <c r="H9">
        <f>IVCFlow!H9-ArterialFlow!H9</f>
        <v>0.95233775099999995</v>
      </c>
      <c r="I9">
        <f>IVCFlow!I9-ArterialFlow!I9</f>
        <v>0.99834586399999992</v>
      </c>
      <c r="K9">
        <f>IVCFlow!K9-ArterialFlow!K9</f>
        <v>0.89462777500000001</v>
      </c>
      <c r="L9">
        <f>IVCFlow!L9-ArterialFlow!L9</f>
        <v>0.90982734500000007</v>
      </c>
      <c r="M9">
        <f>IVCFlow!M9-ArterialFlow!M9</f>
        <v>0.89916295999999996</v>
      </c>
      <c r="N9">
        <f>IVCFlow!N9-ArterialFlow!N9</f>
        <v>0.83110801699999992</v>
      </c>
      <c r="O9">
        <f>IVCFlow!O9-ArterialFlow!O9</f>
        <v>1.0885277769999999</v>
      </c>
      <c r="P9">
        <f>IVCFlow!P9-ArterialFlow!P9</f>
        <v>1.0942138959999999</v>
      </c>
      <c r="Q9">
        <f>IVCFlow!Q9-ArterialFlow!Q9</f>
        <v>1.077160294</v>
      </c>
      <c r="R9">
        <f>IVCFlow!R9-ArterialFlow!R9</f>
        <v>0.92877364299999998</v>
      </c>
      <c r="S9">
        <f>IVCFlow!S9-ArterialFlow!S9</f>
        <v>1.060149979</v>
      </c>
      <c r="T9">
        <f>IVCFlow!T9-ArterialFlow!T9</f>
        <v>1.069605554</v>
      </c>
      <c r="U9">
        <f>IVCFlow!U9-ArterialFlow!U9</f>
        <v>1.033608571</v>
      </c>
      <c r="V9">
        <f>IVCFlow!V9-ArterialFlow!V9</f>
        <v>0.73191388400000001</v>
      </c>
      <c r="W9">
        <f>IVCFlow!W9-ArterialFlow!W9</f>
        <v>1.1643064279999999</v>
      </c>
      <c r="AD9">
        <f>IVCFlow!AD9-ArterialFlow!AD9</f>
        <v>1.095472754</v>
      </c>
      <c r="AF9">
        <f>IVCFlow!AF9-ArterialFlow!AF9</f>
        <v>0.94559788999999994</v>
      </c>
      <c r="AI9">
        <f>IVCFlow!AI9-ArterialFlow!AI9</f>
        <v>1.225479998</v>
      </c>
      <c r="AJ9">
        <f>IVCFlow!AJ9-ArterialFlow!AJ9</f>
        <v>1.07955493</v>
      </c>
      <c r="AK9">
        <f>IVCFlow!AK9-ArterialFlow!AK9</f>
        <v>0.99525478199999995</v>
      </c>
      <c r="AL9">
        <f>IVCFlow!AL9-ArterialFlow!AL9</f>
        <v>1.159570446</v>
      </c>
      <c r="AM9">
        <f>IVCFlow!AM9-ArterialFlow!AM9</f>
        <v>0.84453192799999999</v>
      </c>
      <c r="AN9">
        <f>IVCFlow!AN9-ArterialFlow!AN9</f>
        <v>1.171230558</v>
      </c>
      <c r="AO9">
        <f>IVCFlow!AO9-ArterialFlow!AO9</f>
        <v>1.06528478</v>
      </c>
      <c r="AS9">
        <f>IVCFlow!AS9-ArterialFlow!AS9</f>
        <v>0.711834517</v>
      </c>
      <c r="AT9">
        <f>IVCFlow!AT9-ArterialFlow!AT9</f>
        <v>0.95877709700000002</v>
      </c>
      <c r="AU9">
        <f>IVCFlow!AU9-ArterialFlow!AU9</f>
        <v>1.2330441890000001</v>
      </c>
      <c r="AV9">
        <f>IVCFlow!AV9-ArterialFlow!AV9</f>
        <v>1.0291717380000001</v>
      </c>
      <c r="AW9">
        <f>IVCFlow!AW9-ArterialFlow!AW9</f>
        <v>1.1103669549999999</v>
      </c>
      <c r="AY9">
        <f>IVCFlow!AY9-ArterialFlow!AY9</f>
        <v>1.264350021</v>
      </c>
      <c r="AZ9">
        <f>IVCFlow!AZ9-ArterialFlow!AZ9</f>
        <v>1.149393098</v>
      </c>
      <c r="BA9">
        <f>IVCFlow!BA9-ArterialFlow!BA9</f>
        <v>1.0396471899999999</v>
      </c>
      <c r="BB9">
        <f>IVCFlow!BB9-ArterialFlow!BB9</f>
        <v>1.087894444</v>
      </c>
      <c r="BE9">
        <f>IVCFlow!BE9-ArterialFlow!BE9</f>
        <v>1.047546823</v>
      </c>
      <c r="BF9">
        <f>IVCFlow!BF9-ArterialFlow!BF9</f>
        <v>1.1165814619999999</v>
      </c>
      <c r="BH9">
        <f>IVCFlow!BH9-ArterialFlow!BH9</f>
        <v>1.289988927</v>
      </c>
      <c r="BI9">
        <f>IVCFlow!BI9-ArterialFlow!BI9</f>
        <v>1.420258722</v>
      </c>
      <c r="BN9">
        <f>IVCFlow!BN9-ArterialFlow!BN9</f>
        <v>1.1735186209999999</v>
      </c>
      <c r="BO9">
        <f>IVCFlow!BO9-ArterialFlow!BO9</f>
        <v>0.93726666800000002</v>
      </c>
      <c r="BQ9">
        <f>IVCFlow!BQ9-ArterialFlow!BQ9</f>
        <v>0.94521389199999994</v>
      </c>
      <c r="BT9">
        <f>IVCFlow!BT9-ArterialFlow!BT9</f>
        <v>1.225476362</v>
      </c>
      <c r="BU9">
        <f>IVCFlow!BU9-ArterialFlow!BU9</f>
        <v>1.081252756</v>
      </c>
      <c r="BV9">
        <f>IVCFlow!BV9-ArterialFlow!BV9</f>
        <v>1.0795577120000002</v>
      </c>
      <c r="BW9">
        <f>IVCFlow!BW9-ArterialFlow!BW9</f>
        <v>1.0317416960000001</v>
      </c>
      <c r="BX9">
        <f>IVCFlow!BX9-ArterialFlow!BX9</f>
        <v>0.99527775600000012</v>
      </c>
      <c r="BY9">
        <f>IVCFlow!BY9-ArterialFlow!BY9</f>
        <v>1.1581161400000002</v>
      </c>
      <c r="BZ9">
        <v>1.5190010629999999</v>
      </c>
      <c r="CA9">
        <f>IVCFlow!CA9-ArterialFlow!CA9</f>
        <v>1.0094749850000002</v>
      </c>
      <c r="CB9">
        <f>IVCFlow!CB9-ArterialFlow!CB9</f>
        <v>0.98466777000000005</v>
      </c>
      <c r="CC9">
        <f>IVCFlow!CC9-ArterialFlow!CC9</f>
        <v>1.0652944230000001</v>
      </c>
      <c r="CD9">
        <f>IVCFlow!CD9-ArterialFlow!CD9</f>
        <v>1.0691555529999999</v>
      </c>
      <c r="CE9">
        <f>IVCFlow!CE9-ArterialFlow!CE9</f>
        <v>1.0386722269999999</v>
      </c>
      <c r="CG9">
        <f>IVCFlow!CG9-ArterialFlow!CG9</f>
        <v>1.2330499850000001</v>
      </c>
      <c r="CH9">
        <f>IVCFlow!CH9-ArterialFlow!CH9</f>
        <v>1.264350021</v>
      </c>
      <c r="CI9">
        <f>IVCFlow!CI9-ArterialFlow!CI9</f>
        <v>1.149449084</v>
      </c>
      <c r="CJ9">
        <f>IVCFlow!CJ9-ArterialFlow!CJ9</f>
        <v>1.0396471899999999</v>
      </c>
      <c r="CK9">
        <v>6</v>
      </c>
      <c r="CL9">
        <f t="shared" si="3"/>
        <v>1.0634045247627115</v>
      </c>
      <c r="CM9">
        <f t="shared" si="1"/>
        <v>0.14684560022569454</v>
      </c>
      <c r="CN9">
        <f t="shared" si="2"/>
        <v>1.9117668775708595E-2</v>
      </c>
    </row>
    <row r="10" spans="1:97" x14ac:dyDescent="0.25">
      <c r="A10">
        <v>7</v>
      </c>
      <c r="D10">
        <f>IVCFlow!D10-ArterialFlow!D10</f>
        <v>1.09136743</v>
      </c>
      <c r="F10">
        <f>IVCFlow!F10-ArterialFlow!F10</f>
        <v>1.076197217</v>
      </c>
      <c r="G10">
        <f>IVCFlow!G10-ArterialFlow!G10</f>
        <v>1.076197217</v>
      </c>
      <c r="I10">
        <f>IVCFlow!I10-ArterialFlow!I10</f>
        <v>1.0117670010000002</v>
      </c>
      <c r="K10">
        <f>IVCFlow!K10-ArterialFlow!K10</f>
        <v>0.88763333100000008</v>
      </c>
      <c r="L10">
        <f>IVCFlow!L10-ArterialFlow!L10</f>
        <v>0.92735638799999998</v>
      </c>
      <c r="M10">
        <f>IVCFlow!M10-ArterialFlow!M10</f>
        <v>0.91183537400000003</v>
      </c>
      <c r="N10">
        <f>IVCFlow!N10-ArterialFlow!N10</f>
        <v>0.92939276000000004</v>
      </c>
      <c r="O10">
        <f>IVCFlow!O10-ArterialFlow!O10</f>
        <v>1.0762948530000001</v>
      </c>
      <c r="P10">
        <f>IVCFlow!P10-ArterialFlow!P10</f>
        <v>1.047741673</v>
      </c>
      <c r="Q10">
        <f>IVCFlow!Q10-ArterialFlow!Q10</f>
        <v>1.0354049320000001</v>
      </c>
      <c r="R10">
        <f>IVCFlow!R10-ArterialFlow!R10</f>
        <v>0.91073610799999993</v>
      </c>
      <c r="T10">
        <f>IVCFlow!T10-ArterialFlow!T10</f>
        <v>1.0562138940000001</v>
      </c>
      <c r="U10">
        <f>IVCFlow!U10-ArterialFlow!U10</f>
        <v>1.022893278</v>
      </c>
      <c r="V10">
        <f>IVCFlow!V10-ArterialFlow!V10</f>
        <v>0.72971943899999991</v>
      </c>
      <c r="W10">
        <f>IVCFlow!W10-ArterialFlow!W10</f>
        <v>1.169189668</v>
      </c>
      <c r="AD10">
        <f>IVCFlow!AD10-ArterialFlow!AD10</f>
        <v>1.0957685929999998</v>
      </c>
      <c r="AF10">
        <f>IVCFlow!AF10-ArterialFlow!AF10</f>
        <v>0.82449579599999989</v>
      </c>
      <c r="AJ10">
        <f>IVCFlow!AJ10-ArterialFlow!AJ10</f>
        <v>1.0537969570000001</v>
      </c>
      <c r="AK10">
        <f>IVCFlow!AK10-ArterialFlow!AK10</f>
        <v>0.95359848799999991</v>
      </c>
      <c r="AM10">
        <f>IVCFlow!AM10-ArterialFlow!AM10</f>
        <v>0.85964424100000003</v>
      </c>
      <c r="AN10">
        <f>IVCFlow!AN10-ArterialFlow!AN10</f>
        <v>1.1666203099999999</v>
      </c>
      <c r="AO10">
        <f>IVCFlow!AO10-ArterialFlow!AO10</f>
        <v>1.1010808190000001</v>
      </c>
      <c r="AT10">
        <f>IVCFlow!AT10-ArterialFlow!AT10</f>
        <v>0.95179493900000001</v>
      </c>
      <c r="AU10">
        <f>IVCFlow!AU10-ArterialFlow!AU10</f>
        <v>1.2275816979999998</v>
      </c>
      <c r="AV10">
        <f>IVCFlow!AV10-ArterialFlow!AV10</f>
        <v>1.0527338900000001</v>
      </c>
      <c r="AW10">
        <f>IVCFlow!AW10-ArterialFlow!AW10</f>
        <v>1.103274944</v>
      </c>
      <c r="AY10">
        <f>IVCFlow!AY10-ArterialFlow!AY10</f>
        <v>0.82638661099999999</v>
      </c>
      <c r="AZ10">
        <f>IVCFlow!AZ10-ArterialFlow!AZ10</f>
        <v>0.85831245799999989</v>
      </c>
      <c r="BA10">
        <f>IVCFlow!BA10-ArterialFlow!BA10</f>
        <v>1.0392164230000001</v>
      </c>
      <c r="BB10">
        <f>IVCFlow!BB10-ArterialFlow!BB10</f>
        <v>1.1093805370000001</v>
      </c>
      <c r="BE10">
        <f>IVCFlow!BE10-ArterialFlow!BE10</f>
        <v>1.020167942</v>
      </c>
      <c r="BF10">
        <f>IVCFlow!BF10-ArterialFlow!BF10</f>
        <v>1.1178953469999999</v>
      </c>
      <c r="BH10">
        <f>IVCFlow!BH10-ArterialFlow!BH10</f>
        <v>1.2917278139999999</v>
      </c>
      <c r="BN10">
        <f>IVCFlow!BN10-ArterialFlow!BN10</f>
        <v>1.1736194449999999</v>
      </c>
      <c r="BO10">
        <f>IVCFlow!BO10-ArterialFlow!BO10</f>
        <v>0.93843611000000005</v>
      </c>
      <c r="BQ10">
        <f>IVCFlow!BQ10-ArterialFlow!BQ10</f>
        <v>0.82108786300000014</v>
      </c>
      <c r="BU10">
        <f>IVCFlow!BU10-ArterialFlow!BU10</f>
        <v>1.119880569</v>
      </c>
      <c r="BV10">
        <f>IVCFlow!BV10-ArterialFlow!BV10</f>
        <v>1.053756616</v>
      </c>
      <c r="BW10">
        <f>IVCFlow!BW10-ArterialFlow!BW10</f>
        <v>1.03251392</v>
      </c>
      <c r="BX10">
        <f>IVCFlow!BX10-ArterialFlow!BX10</f>
        <v>0.95428704500000006</v>
      </c>
      <c r="BY10">
        <f>IVCFlow!BY10-ArterialFlow!BY10</f>
        <v>1.1647610939999999</v>
      </c>
      <c r="CA10">
        <f>IVCFlow!CA10-ArterialFlow!CA10</f>
        <v>1.0116504319999999</v>
      </c>
      <c r="CB10">
        <f>IVCFlow!CB10-ArterialFlow!CB10</f>
        <v>0.93589101400000008</v>
      </c>
      <c r="CC10">
        <f>IVCFlow!CC10-ArterialFlow!CC10</f>
        <v>1.1010749629999999</v>
      </c>
      <c r="CD10">
        <f>IVCFlow!CD10-ArterialFlow!CD10</f>
        <v>1.071984432</v>
      </c>
      <c r="CE10">
        <f>IVCFlow!CE10-ArterialFlow!CE10</f>
        <v>1.0329166680000001</v>
      </c>
      <c r="CG10">
        <f>IVCFlow!CG10-ArterialFlow!CG10</f>
        <v>1.227661581</v>
      </c>
      <c r="CI10">
        <f>IVCFlow!CI10-ArterialFlow!CI10</f>
        <v>0.8579465879999999</v>
      </c>
      <c r="CJ10">
        <f>IVCFlow!CJ10-ArterialFlow!CJ10</f>
        <v>1.0392134259999999</v>
      </c>
      <c r="CK10">
        <v>7</v>
      </c>
      <c r="CL10">
        <f t="shared" si="3"/>
        <v>1.0230020027199997</v>
      </c>
      <c r="CM10">
        <f t="shared" si="1"/>
        <v>0.11850715821561611</v>
      </c>
      <c r="CN10">
        <f t="shared" si="2"/>
        <v>1.6759443038681845E-2</v>
      </c>
    </row>
    <row r="11" spans="1:97" x14ac:dyDescent="0.25">
      <c r="A11">
        <v>8</v>
      </c>
      <c r="D11">
        <f>IVCFlow!D11-ArterialFlow!D11</f>
        <v>1.1017898830000001</v>
      </c>
      <c r="F11">
        <f>IVCFlow!F11-ArterialFlow!F11</f>
        <v>1.0820805410000001</v>
      </c>
      <c r="G11">
        <f>IVCFlow!G11-ArterialFlow!G11</f>
        <v>1.0820805410000001</v>
      </c>
      <c r="I11">
        <f>IVCFlow!I11-ArterialFlow!I11</f>
        <v>0.99091618199999998</v>
      </c>
      <c r="K11">
        <f>IVCFlow!K11-ArterialFlow!K11</f>
        <v>0.88782221899999991</v>
      </c>
      <c r="L11">
        <f>IVCFlow!L11-ArterialFlow!L11</f>
        <v>0.92190992699999996</v>
      </c>
      <c r="M11">
        <f>IVCFlow!M11-ArterialFlow!M11</f>
        <v>0.91197442000000006</v>
      </c>
      <c r="N11">
        <f>IVCFlow!N11-ArterialFlow!N11</f>
        <v>0.94162252599999985</v>
      </c>
      <c r="O11">
        <f>IVCFlow!O11-ArterialFlow!O11</f>
        <v>1.0628384749999999</v>
      </c>
      <c r="P11">
        <f>IVCFlow!P11-ArterialFlow!P11</f>
        <v>1.0342301089999999</v>
      </c>
      <c r="Q11">
        <f>IVCFlow!Q11-ArterialFlow!Q11</f>
        <v>1.0906365060000001</v>
      </c>
      <c r="R11">
        <f>IVCFlow!R11-ArterialFlow!R11</f>
        <v>0.89975819000000001</v>
      </c>
      <c r="T11">
        <f>IVCFlow!T11-ArterialFlow!T11</f>
        <v>1.102175014</v>
      </c>
      <c r="U11">
        <f>IVCFlow!U11-ArterialFlow!U11</f>
        <v>0.9784344410000001</v>
      </c>
      <c r="V11">
        <f>IVCFlow!V11-ArterialFlow!V11</f>
        <v>0.72685277400000003</v>
      </c>
      <c r="W11">
        <f>IVCFlow!W11-ArterialFlow!W11</f>
        <v>1.179129103</v>
      </c>
      <c r="AD11">
        <f>IVCFlow!AD11-ArterialFlow!AD11</f>
        <v>1.1244106029999998</v>
      </c>
      <c r="AJ11">
        <f>IVCFlow!AJ11-ArterialFlow!AJ11</f>
        <v>0.99342697400000002</v>
      </c>
      <c r="AM11">
        <f>IVCFlow!AM11-ArterialFlow!AM11</f>
        <v>0.87964426100000004</v>
      </c>
      <c r="AN11">
        <f>IVCFlow!AN11-ArterialFlow!AN11</f>
        <v>1.1691580859999999</v>
      </c>
      <c r="AO11">
        <f>IVCFlow!AO11-ArterialFlow!AO11</f>
        <v>1.1167805200000001</v>
      </c>
      <c r="AT11">
        <f>IVCFlow!AT11-ArterialFlow!AT11</f>
        <v>0.95883792299999993</v>
      </c>
      <c r="AW11">
        <f>IVCFlow!AW11-ArterialFlow!AW11</f>
        <v>1.0641720080000001</v>
      </c>
      <c r="BA11">
        <f>IVCFlow!BA11-ArterialFlow!BA11</f>
        <v>0.78649386300000002</v>
      </c>
      <c r="BB11">
        <f>IVCFlow!BB11-ArterialFlow!BB11</f>
        <v>1.1103556240000001</v>
      </c>
      <c r="BE11">
        <f>IVCFlow!BE11-ArterialFlow!BE11</f>
        <v>1.0266950879999999</v>
      </c>
      <c r="BH11">
        <f>IVCFlow!BH11-ArterialFlow!BH11</f>
        <v>1.293583369</v>
      </c>
      <c r="BN11">
        <f>IVCFlow!BN11-ArterialFlow!BN11</f>
        <v>1.163173104</v>
      </c>
      <c r="BO11">
        <f>IVCFlow!BO11-ArterialFlow!BO11</f>
        <v>0.9535861109999999</v>
      </c>
      <c r="BU11">
        <f>IVCFlow!BU11-ArterialFlow!BU11</f>
        <v>1.0734276010000001</v>
      </c>
      <c r="BV11">
        <f>IVCFlow!BV11-ArterialFlow!BV11</f>
        <v>0.99342697400000002</v>
      </c>
      <c r="BW11">
        <f>IVCFlow!BW11-ArterialFlow!BW11</f>
        <v>1.0184384889999998</v>
      </c>
      <c r="BY11">
        <f>IVCFlow!BY11-ArterialFlow!BY11</f>
        <v>1.153352776</v>
      </c>
      <c r="CA11">
        <f>IVCFlow!CA11-ArterialFlow!CA11</f>
        <v>1.0140355410000002</v>
      </c>
      <c r="CB11">
        <f>IVCFlow!CB11-ArterialFlow!CB11</f>
        <v>0.94051124399999986</v>
      </c>
      <c r="CC11">
        <f>IVCFlow!CC11-ArterialFlow!CC11</f>
        <v>1.1167805200000001</v>
      </c>
      <c r="CD11">
        <f>IVCFlow!CD11-ArterialFlow!CD11</f>
        <v>1.1236361100000001</v>
      </c>
      <c r="CE11">
        <f>IVCFlow!CE11-ArterialFlow!CE11</f>
        <v>1.0384801430000001</v>
      </c>
      <c r="CJ11">
        <f>IVCFlow!CJ11-ArterialFlow!CJ11</f>
        <v>0.78644900799999995</v>
      </c>
      <c r="CK11">
        <v>8</v>
      </c>
      <c r="CL11">
        <f t="shared" si="3"/>
        <v>1.0229001741282049</v>
      </c>
      <c r="CM11">
        <f t="shared" si="1"/>
        <v>0.11863738207093087</v>
      </c>
      <c r="CN11">
        <f t="shared" si="2"/>
        <v>1.8997184963286905E-2</v>
      </c>
    </row>
    <row r="12" spans="1:97" x14ac:dyDescent="0.25">
      <c r="A12">
        <v>9</v>
      </c>
      <c r="D12">
        <f>IVCFlow!D12-ArterialFlow!D12</f>
        <v>1.103093382</v>
      </c>
      <c r="F12">
        <f>IVCFlow!F12-ArterialFlow!F12</f>
        <v>1.090908824</v>
      </c>
      <c r="G12">
        <f>IVCFlow!G12-ArterialFlow!G12</f>
        <v>1.090908824</v>
      </c>
      <c r="I12">
        <f>IVCFlow!I12-ArterialFlow!I12</f>
        <v>1.003812312</v>
      </c>
      <c r="K12">
        <f>IVCFlow!K12-ArterialFlow!K12</f>
        <v>0.87683482000000001</v>
      </c>
      <c r="L12">
        <f>IVCFlow!L12-ArterialFlow!L12</f>
        <v>0.95276897400000005</v>
      </c>
      <c r="M12">
        <f>IVCFlow!M12-ArterialFlow!M12</f>
        <v>0.90571150900000008</v>
      </c>
      <c r="N12">
        <f>IVCFlow!N12-ArterialFlow!N12</f>
        <v>0.94958217500000008</v>
      </c>
      <c r="O12">
        <f>IVCFlow!O12-ArterialFlow!O12</f>
        <v>1.0553269740000002</v>
      </c>
      <c r="P12">
        <f>IVCFlow!P12-ArterialFlow!P12</f>
        <v>1.0548096680000001</v>
      </c>
      <c r="Q12">
        <f>IVCFlow!Q12-ArterialFlow!Q12</f>
        <v>1.0564657129999999</v>
      </c>
      <c r="R12">
        <f>IVCFlow!R12-ArterialFlow!R12</f>
        <v>0.88123401800000012</v>
      </c>
      <c r="T12">
        <f>IVCFlow!T12-ArterialFlow!T12</f>
        <v>0.93864942400000007</v>
      </c>
      <c r="U12">
        <f>IVCFlow!U12-ArterialFlow!U12</f>
        <v>0.87083332800000002</v>
      </c>
      <c r="V12">
        <f>IVCFlow!V12-ArterialFlow!V12</f>
        <v>0.72498747099999994</v>
      </c>
      <c r="AM12">
        <f>IVCFlow!AM12-ArterialFlow!AM12</f>
        <v>0.86591428400000003</v>
      </c>
      <c r="AN12">
        <f>IVCFlow!AN12-ArterialFlow!AN12</f>
        <v>0.83940676199999997</v>
      </c>
      <c r="AO12">
        <f>IVCFlow!AO12-ArterialFlow!AO12</f>
        <v>0.51952363199999996</v>
      </c>
      <c r="AT12">
        <f>IVCFlow!AT12-ArterialFlow!AT12</f>
        <v>0.95170236599999991</v>
      </c>
      <c r="AW12">
        <f>IVCFlow!AW12-ArterialFlow!AW12</f>
        <v>1.056077892</v>
      </c>
      <c r="BB12">
        <f>IVCFlow!BB12-ArterialFlow!BB12</f>
        <v>1.131258667</v>
      </c>
      <c r="BE12">
        <f>IVCFlow!BE12-ArterialFlow!BE12</f>
        <v>1.0329640179999999</v>
      </c>
      <c r="BH12">
        <f>IVCFlow!BH12-ArterialFlow!BH12</f>
        <v>1.2962278120000001</v>
      </c>
      <c r="BN12">
        <f>IVCFlow!BN12-ArterialFlow!BN12</f>
        <v>1.169033065</v>
      </c>
      <c r="BO12">
        <f>IVCFlow!BO12-ArterialFlow!BO12</f>
        <v>0.91983812699999989</v>
      </c>
      <c r="BW12">
        <f>IVCFlow!BW12-ArterialFlow!BW12</f>
        <v>0.99344821200000011</v>
      </c>
      <c r="BY12">
        <f>IVCFlow!BY12-ArterialFlow!BY12</f>
        <v>1.1399194530000001</v>
      </c>
      <c r="CA12">
        <f>IVCFlow!CA12-ArterialFlow!CA12</f>
        <v>1.0281472389999999</v>
      </c>
      <c r="CB12">
        <f>IVCFlow!CB12-ArterialFlow!CB12</f>
        <v>0.89727046600000016</v>
      </c>
      <c r="CD12">
        <f>IVCFlow!CD12-ArterialFlow!CD12</f>
        <v>1.096475447</v>
      </c>
      <c r="CE12">
        <f>IVCFlow!CE12-ArterialFlow!CE12</f>
        <v>1.0346361150000001</v>
      </c>
      <c r="CK12">
        <v>9</v>
      </c>
      <c r="CL12">
        <f t="shared" si="3"/>
        <v>0.98476680558064522</v>
      </c>
      <c r="CM12">
        <f t="shared" si="1"/>
        <v>0.14501623357300969</v>
      </c>
      <c r="CN12">
        <f t="shared" si="2"/>
        <v>2.604568442966574E-2</v>
      </c>
    </row>
    <row r="13" spans="1:97" x14ac:dyDescent="0.25">
      <c r="A13">
        <v>10</v>
      </c>
      <c r="D13">
        <f>IVCFlow!D13-ArterialFlow!D13</f>
        <v>1.123490833</v>
      </c>
      <c r="F13">
        <f>IVCFlow!F13-ArterialFlow!F13</f>
        <v>1.0104173010000002</v>
      </c>
      <c r="G13">
        <f>IVCFlow!G13-ArterialFlow!G13</f>
        <v>1.0104173010000002</v>
      </c>
      <c r="I13">
        <f>IVCFlow!I13-ArterialFlow!I13</f>
        <v>0.99017270499999999</v>
      </c>
      <c r="K13">
        <f>IVCFlow!K13-ArterialFlow!K13</f>
        <v>0.91854959600000008</v>
      </c>
      <c r="L13">
        <f>IVCFlow!L13-ArterialFlow!L13</f>
        <v>0.88825842699999991</v>
      </c>
      <c r="M13">
        <f>IVCFlow!M13-ArterialFlow!M13</f>
        <v>0.90272298100000015</v>
      </c>
      <c r="N13">
        <f>IVCFlow!N13-ArterialFlow!N13</f>
        <v>0.93009746300000007</v>
      </c>
      <c r="P13">
        <f>IVCFlow!P13-ArterialFlow!P13</f>
        <v>1.081663883</v>
      </c>
      <c r="R13">
        <f>IVCFlow!R13-ArterialFlow!R13</f>
        <v>0.90551321200000001</v>
      </c>
      <c r="AM13">
        <f>IVCFlow!AM13-ArterialFlow!AM13</f>
        <v>0.88947336099999996</v>
      </c>
      <c r="AT13">
        <f>IVCFlow!AT13-ArterialFlow!AT13</f>
        <v>0.95210161699999996</v>
      </c>
      <c r="AW13">
        <f>IVCFlow!AW13-ArterialFlow!AW13</f>
        <v>1.0776508360000001</v>
      </c>
      <c r="BB13">
        <f>IVCFlow!BB13-ArterialFlow!BB13</f>
        <v>1.130180535</v>
      </c>
      <c r="BE13">
        <f>IVCFlow!BE13-ArterialFlow!BE13</f>
        <v>1.043384461</v>
      </c>
      <c r="BH13">
        <f>IVCFlow!BH13-ArterialFlow!BH13</f>
        <v>1.300527808</v>
      </c>
      <c r="BN13">
        <f>IVCFlow!BN13-ArterialFlow!BN13</f>
        <v>1.1415671030000001</v>
      </c>
      <c r="BY13">
        <f>IVCFlow!BY13-ArterialFlow!BY13</f>
        <v>1.117366678</v>
      </c>
      <c r="CA13">
        <f>IVCFlow!CA13-ArterialFlow!CA13</f>
        <v>1.0265639260000001</v>
      </c>
      <c r="CE13">
        <f>IVCFlow!CE13-ArterialFlow!CE13</f>
        <v>1.042436119</v>
      </c>
      <c r="CK13">
        <v>10</v>
      </c>
      <c r="CL13">
        <f t="shared" si="3"/>
        <v>1.0241278073000002</v>
      </c>
      <c r="CM13">
        <f t="shared" si="1"/>
        <v>0.10735962527085649</v>
      </c>
      <c r="CN13">
        <f t="shared" si="2"/>
        <v>2.4006342014453938E-2</v>
      </c>
      <c r="CS13" t="s">
        <v>6</v>
      </c>
    </row>
    <row r="14" spans="1:97" x14ac:dyDescent="0.25">
      <c r="A14">
        <v>11</v>
      </c>
      <c r="D14">
        <f>IVCFlow!D14-ArterialFlow!D14</f>
        <v>1.1794939040000001</v>
      </c>
      <c r="I14">
        <f>IVCFlow!I14-ArterialFlow!I14</f>
        <v>0.99598102399999988</v>
      </c>
      <c r="K14">
        <f>IVCFlow!K14-ArterialFlow!K14</f>
        <v>0.92240900400000003</v>
      </c>
      <c r="M14">
        <f>IVCFlow!M14-ArterialFlow!M14</f>
        <v>0.66706672700000003</v>
      </c>
      <c r="N14">
        <f>IVCFlow!N14-ArterialFlow!N14</f>
        <v>0.86912230700000004</v>
      </c>
      <c r="P14">
        <f>IVCFlow!P14-ArterialFlow!P14</f>
        <v>1.0818318489999998</v>
      </c>
      <c r="R14">
        <f>IVCFlow!R14-ArterialFlow!R14</f>
        <v>0.90938559799999996</v>
      </c>
      <c r="AW14">
        <f>IVCFlow!AW14-ArterialFlow!AW14</f>
        <v>1.0796634479999998</v>
      </c>
      <c r="BB14">
        <f>IVCFlow!BB14-ArterialFlow!BB14</f>
        <v>1.1319666500000001</v>
      </c>
      <c r="BE14">
        <f>IVCFlow!BE14-ArterialFlow!BE14</f>
        <v>1.03871841</v>
      </c>
      <c r="BH14">
        <f>IVCFlow!BH14-ArterialFlow!BH14</f>
        <v>1.3016166979999999</v>
      </c>
      <c r="BN14">
        <f>IVCFlow!BN14-ArterialFlow!BN14</f>
        <v>1.093452114</v>
      </c>
      <c r="BY14">
        <f>IVCFlow!BY14-ArterialFlow!BY14</f>
        <v>1.1187000309999999</v>
      </c>
      <c r="CA14">
        <f>IVCFlow!CA14-ArterialFlow!CA14</f>
        <v>1.0571500249999999</v>
      </c>
      <c r="CE14">
        <f>IVCFlow!CE14-ArterialFlow!CE14</f>
        <v>0.92862778299999982</v>
      </c>
      <c r="CK14">
        <v>11</v>
      </c>
      <c r="CL14">
        <f t="shared" si="3"/>
        <v>1.0250123714666666</v>
      </c>
      <c r="CM14">
        <f t="shared" si="1"/>
        <v>0.15098901918306196</v>
      </c>
      <c r="CN14">
        <f t="shared" si="2"/>
        <v>3.8985197117079408E-2</v>
      </c>
    </row>
    <row r="15" spans="1:97" x14ac:dyDescent="0.25">
      <c r="A15">
        <v>12</v>
      </c>
      <c r="D15">
        <f>IVCFlow!D15-ArterialFlow!D15</f>
        <v>1.215319619</v>
      </c>
      <c r="I15">
        <f>IVCFlow!I15-ArterialFlow!I15</f>
        <v>1.0262461709999999</v>
      </c>
      <c r="K15">
        <f>IVCFlow!K15-ArterialFlow!K15</f>
        <v>0.93207615399999999</v>
      </c>
      <c r="N15">
        <f>IVCFlow!N15-ArterialFlow!N15</f>
        <v>0.86515375099999992</v>
      </c>
      <c r="P15">
        <f>IVCFlow!P15-ArterialFlow!P15</f>
        <v>1.097190541</v>
      </c>
      <c r="R15">
        <f>IVCFlow!R15-ArterialFlow!R15</f>
        <v>0.90071468399999999</v>
      </c>
      <c r="AW15">
        <f>IVCFlow!AW15-ArterialFlow!AW15</f>
        <v>1.0717570319999998</v>
      </c>
      <c r="BB15">
        <f>IVCFlow!BB15-ArterialFlow!BB15</f>
        <v>1.1337389</v>
      </c>
      <c r="BE15">
        <f>IVCFlow!BE15-ArterialFlow!BE15</f>
        <v>1.0490796420000001</v>
      </c>
      <c r="BH15">
        <f>IVCFlow!BH15-ArterialFlow!BH15</f>
        <v>1.300850032</v>
      </c>
      <c r="BY15">
        <f>IVCFlow!BY15-ArterialFlow!BY15</f>
        <v>1.1174638779999999</v>
      </c>
      <c r="CA15">
        <f>IVCFlow!CA15-ArterialFlow!CA15</f>
        <v>1.0466888860000001</v>
      </c>
      <c r="CK15">
        <v>12</v>
      </c>
      <c r="CL15">
        <f t="shared" si="3"/>
        <v>1.0630232741666668</v>
      </c>
      <c r="CM15">
        <f t="shared" si="1"/>
        <v>0.12556102119351725</v>
      </c>
      <c r="CN15">
        <f t="shared" si="2"/>
        <v>3.624634469290075E-2</v>
      </c>
    </row>
    <row r="16" spans="1:97" x14ac:dyDescent="0.25">
      <c r="A16">
        <v>13</v>
      </c>
      <c r="D16">
        <f>IVCFlow!D16-ArterialFlow!D16</f>
        <v>1.237329076</v>
      </c>
      <c r="K16">
        <f>IVCFlow!K16-ArterialFlow!K16</f>
        <v>0.95392549399999993</v>
      </c>
      <c r="P16">
        <f>IVCFlow!P16-ArterialFlow!P16</f>
        <v>1.0877913830000001</v>
      </c>
      <c r="R16">
        <f>IVCFlow!R16-ArterialFlow!R16</f>
        <v>0.72366894100000001</v>
      </c>
      <c r="AW16">
        <f>IVCFlow!AW16-ArterialFlow!AW16</f>
        <v>1.058026122</v>
      </c>
      <c r="BB16">
        <f>IVCFlow!BB16-ArterialFlow!BB16</f>
        <v>1.015247376</v>
      </c>
      <c r="BE16">
        <f>IVCFlow!BE16-ArterialFlow!BE16</f>
        <v>1.050282419</v>
      </c>
      <c r="BH16">
        <f>IVCFlow!BH16-ArterialFlow!BH16</f>
        <v>1.301574003</v>
      </c>
      <c r="BY16">
        <f>IVCFlow!BY16-ArterialFlow!BY16</f>
        <v>1.120813866</v>
      </c>
      <c r="CA16">
        <f>IVCFlow!CA16-ArterialFlow!CA16</f>
        <v>1.0316199309999998</v>
      </c>
      <c r="CK16">
        <v>13</v>
      </c>
      <c r="CL16">
        <f t="shared" si="3"/>
        <v>1.0580278611</v>
      </c>
      <c r="CM16">
        <f t="shared" si="1"/>
        <v>0.15688365447977098</v>
      </c>
      <c r="CN16">
        <f t="shared" si="2"/>
        <v>4.9610967580695463E-2</v>
      </c>
    </row>
    <row r="17" spans="1:92" x14ac:dyDescent="0.25">
      <c r="A17">
        <v>14</v>
      </c>
      <c r="D17">
        <f>IVCFlow!D17-ArterialFlow!D17</f>
        <v>1.240767518</v>
      </c>
      <c r="K17">
        <f>IVCFlow!K17-ArterialFlow!K17</f>
        <v>0.92560812900000011</v>
      </c>
      <c r="P17">
        <f>IVCFlow!P17-ArterialFlow!P17</f>
        <v>1.071417842</v>
      </c>
      <c r="AW17">
        <f>IVCFlow!AW17-ArterialFlow!AW17</f>
        <v>1.0529433070000001</v>
      </c>
      <c r="BE17">
        <f>IVCFlow!BE17-ArterialFlow!BE17</f>
        <v>0.91405385399999994</v>
      </c>
      <c r="BH17">
        <f>IVCFlow!BH17-ArterialFlow!BH17</f>
        <v>0.62457803500000009</v>
      </c>
      <c r="BY17">
        <f>IVCFlow!BY17-ArterialFlow!BY17</f>
        <v>1.045052839</v>
      </c>
      <c r="CA17">
        <f>IVCFlow!CA17-ArterialFlow!CA17</f>
        <v>1.041069475</v>
      </c>
      <c r="CK17">
        <v>14</v>
      </c>
      <c r="CL17">
        <f t="shared" si="3"/>
        <v>0.98943637487500014</v>
      </c>
      <c r="CM17">
        <f t="shared" si="1"/>
        <v>0.17830903374117843</v>
      </c>
      <c r="CN17">
        <f t="shared" si="2"/>
        <v>6.304176345260408E-2</v>
      </c>
    </row>
    <row r="18" spans="1:92" x14ac:dyDescent="0.25">
      <c r="A18">
        <v>15</v>
      </c>
      <c r="D18">
        <f>IVCFlow!D18-ArterialFlow!D18</f>
        <v>1.243565866</v>
      </c>
      <c r="K18">
        <f>IVCFlow!K18-ArterialFlow!K18</f>
        <v>0.93515042000000004</v>
      </c>
      <c r="P18">
        <f>IVCFlow!P18-ArterialFlow!P18</f>
        <v>1.0723887690000002</v>
      </c>
      <c r="AW18">
        <f>IVCFlow!AW18-ArterialFlow!AW18</f>
        <v>1.0506310769999998</v>
      </c>
      <c r="BH18">
        <f>IVCFlow!BH18-ArterialFlow!BH18</f>
        <v>0.83061631000000002</v>
      </c>
      <c r="CA18">
        <f>IVCFlow!CA18-ArterialFlow!CA18</f>
        <v>1.0462889120000001</v>
      </c>
      <c r="CK18">
        <v>15</v>
      </c>
      <c r="CL18">
        <f t="shared" si="3"/>
        <v>1.0297735589999999</v>
      </c>
      <c r="CM18">
        <f t="shared" si="1"/>
        <v>0.13917481658764524</v>
      </c>
      <c r="CN18">
        <f t="shared" si="2"/>
        <v>5.6817880947527863E-2</v>
      </c>
    </row>
    <row r="19" spans="1:92" x14ac:dyDescent="0.25">
      <c r="A19">
        <v>16</v>
      </c>
      <c r="D19">
        <f>IVCFlow!D19-ArterialFlow!D19</f>
        <v>1.2524492459999998</v>
      </c>
      <c r="K19">
        <f>IVCFlow!K19-ArterialFlow!K19</f>
        <v>0.95726715000000007</v>
      </c>
      <c r="P19">
        <f>IVCFlow!P19-ArterialFlow!P19</f>
        <v>1.074855313</v>
      </c>
      <c r="AW19">
        <f>IVCFlow!AW19-ArterialFlow!AW19</f>
        <v>1.1073457339999999</v>
      </c>
      <c r="BH19">
        <f>IVCFlow!BH19-ArterialFlow!BH19</f>
        <v>0.85932454200000008</v>
      </c>
      <c r="CA19">
        <f>IVCFlow!CA19-ArterialFlow!CA19</f>
        <v>1.0638288419999999</v>
      </c>
      <c r="CK19">
        <v>16</v>
      </c>
      <c r="CL19">
        <f t="shared" si="3"/>
        <v>1.0525118045000001</v>
      </c>
      <c r="CM19">
        <f t="shared" si="1"/>
        <v>0.13416550275753336</v>
      </c>
      <c r="CN19">
        <f t="shared" si="2"/>
        <v>5.47728371399877E-2</v>
      </c>
    </row>
    <row r="20" spans="1:92" x14ac:dyDescent="0.25">
      <c r="A20">
        <v>17</v>
      </c>
      <c r="D20">
        <f>IVCFlow!D20-ArterialFlow!D20</f>
        <v>1.0513924299999999</v>
      </c>
      <c r="K20">
        <f>IVCFlow!K20-ArterialFlow!K20</f>
        <v>0.94085793699999987</v>
      </c>
      <c r="P20">
        <f>IVCFlow!P20-ArterialFlow!P20</f>
        <v>0.86499456299999999</v>
      </c>
      <c r="AW20">
        <f>IVCFlow!AW20-ArterialFlow!AW20</f>
        <v>1.0981962679999999</v>
      </c>
      <c r="CA20">
        <f>IVCFlow!CA20-ArterialFlow!CA20</f>
        <v>0.98451943599999991</v>
      </c>
      <c r="CK20">
        <v>17</v>
      </c>
      <c r="CL20">
        <f t="shared" si="3"/>
        <v>0.98799212680000004</v>
      </c>
      <c r="CM20">
        <f t="shared" si="1"/>
        <v>9.1551410848920503E-2</v>
      </c>
      <c r="CN20">
        <f t="shared" si="2"/>
        <v>4.0943035618839593E-2</v>
      </c>
    </row>
    <row r="21" spans="1:92" x14ac:dyDescent="0.25">
      <c r="A21">
        <v>18</v>
      </c>
      <c r="K21">
        <f>IVCFlow!K21-ArterialFlow!K21</f>
        <v>0.96414243000000011</v>
      </c>
      <c r="AW21">
        <f>IVCFlow!AW21-ArterialFlow!AW21</f>
        <v>1.0905653929999999</v>
      </c>
      <c r="CA21">
        <f>IVCFlow!CA21-ArterialFlow!CA21</f>
        <v>0.9067911070000001</v>
      </c>
      <c r="CK21">
        <v>18</v>
      </c>
      <c r="CL21">
        <f t="shared" si="3"/>
        <v>0.9871663100000001</v>
      </c>
      <c r="CM21">
        <f t="shared" si="1"/>
        <v>9.4025641908966659E-2</v>
      </c>
      <c r="CN21">
        <f t="shared" si="2"/>
        <v>5.4285729666869259E-2</v>
      </c>
    </row>
    <row r="22" spans="1:92" x14ac:dyDescent="0.25">
      <c r="A22">
        <v>19</v>
      </c>
      <c r="AW22">
        <f>IVCFlow!AW22-ArterialFlow!AW22</f>
        <v>1.1054866649999999</v>
      </c>
      <c r="CK22">
        <v>19</v>
      </c>
      <c r="CL22">
        <f t="shared" si="3"/>
        <v>1.1054866649999999</v>
      </c>
      <c r="CM22">
        <v>0</v>
      </c>
      <c r="CN22">
        <v>0</v>
      </c>
    </row>
    <row r="23" spans="1:92" x14ac:dyDescent="0.25">
      <c r="A23">
        <v>20</v>
      </c>
      <c r="CK23">
        <v>20</v>
      </c>
    </row>
    <row r="24" spans="1:92" x14ac:dyDescent="0.25">
      <c r="A24">
        <v>21</v>
      </c>
      <c r="CK24">
        <v>21</v>
      </c>
    </row>
    <row r="25" spans="1:92" x14ac:dyDescent="0.25">
      <c r="A25">
        <v>22</v>
      </c>
      <c r="CK25">
        <v>22</v>
      </c>
    </row>
    <row r="26" spans="1:92" x14ac:dyDescent="0.25">
      <c r="A26">
        <v>23</v>
      </c>
      <c r="CK26">
        <v>23</v>
      </c>
    </row>
    <row r="27" spans="1:92" x14ac:dyDescent="0.25">
      <c r="A27">
        <v>24</v>
      </c>
      <c r="CK27">
        <v>24</v>
      </c>
    </row>
    <row r="1048576" spans="91:91" x14ac:dyDescent="0.25">
      <c r="CM1048576" t="e">
        <f>STDEV(C1048576:CL1048576)</f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48576"/>
  <sheetViews>
    <sheetView workbookViewId="0">
      <selection activeCell="CH16" sqref="CH16"/>
    </sheetView>
  </sheetViews>
  <sheetFormatPr defaultRowHeight="15" x14ac:dyDescent="0.25"/>
  <sheetData>
    <row r="1" spans="1:97" x14ac:dyDescent="0.25">
      <c r="B1" t="s">
        <v>1</v>
      </c>
    </row>
    <row r="2" spans="1:97" x14ac:dyDescent="0.25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f t="shared" ref="AL2:CJ2" si="0">AK2+1</f>
        <v>37</v>
      </c>
      <c r="AM2">
        <f t="shared" si="0"/>
        <v>38</v>
      </c>
      <c r="AN2">
        <f t="shared" si="0"/>
        <v>39</v>
      </c>
      <c r="AO2">
        <f t="shared" si="0"/>
        <v>40</v>
      </c>
      <c r="AP2">
        <f t="shared" si="0"/>
        <v>41</v>
      </c>
      <c r="AQ2">
        <f t="shared" si="0"/>
        <v>42</v>
      </c>
      <c r="AR2">
        <f t="shared" si="0"/>
        <v>43</v>
      </c>
      <c r="AS2">
        <f t="shared" si="0"/>
        <v>44</v>
      </c>
      <c r="AT2">
        <f t="shared" si="0"/>
        <v>45</v>
      </c>
      <c r="AU2">
        <f t="shared" si="0"/>
        <v>46</v>
      </c>
      <c r="AV2">
        <f t="shared" si="0"/>
        <v>47</v>
      </c>
      <c r="AW2">
        <f t="shared" si="0"/>
        <v>48</v>
      </c>
      <c r="AX2">
        <f t="shared" si="0"/>
        <v>49</v>
      </c>
      <c r="AY2">
        <f t="shared" si="0"/>
        <v>50</v>
      </c>
      <c r="AZ2">
        <f t="shared" si="0"/>
        <v>51</v>
      </c>
      <c r="BA2">
        <f t="shared" si="0"/>
        <v>52</v>
      </c>
      <c r="BB2">
        <f t="shared" si="0"/>
        <v>53</v>
      </c>
      <c r="BC2">
        <f t="shared" si="0"/>
        <v>54</v>
      </c>
      <c r="BD2">
        <f t="shared" si="0"/>
        <v>55</v>
      </c>
      <c r="BE2">
        <f t="shared" si="0"/>
        <v>56</v>
      </c>
      <c r="BF2">
        <f t="shared" si="0"/>
        <v>57</v>
      </c>
      <c r="BG2">
        <f t="shared" si="0"/>
        <v>58</v>
      </c>
      <c r="BH2">
        <f t="shared" si="0"/>
        <v>59</v>
      </c>
      <c r="BI2">
        <f t="shared" si="0"/>
        <v>60</v>
      </c>
      <c r="BJ2">
        <f t="shared" si="0"/>
        <v>61</v>
      </c>
      <c r="BK2">
        <f t="shared" si="0"/>
        <v>62</v>
      </c>
      <c r="BL2">
        <f t="shared" si="0"/>
        <v>63</v>
      </c>
      <c r="BM2">
        <f t="shared" si="0"/>
        <v>64</v>
      </c>
      <c r="BN2">
        <f t="shared" si="0"/>
        <v>65</v>
      </c>
      <c r="BO2">
        <f t="shared" si="0"/>
        <v>66</v>
      </c>
      <c r="BP2">
        <f t="shared" si="0"/>
        <v>67</v>
      </c>
      <c r="BQ2">
        <f t="shared" si="0"/>
        <v>68</v>
      </c>
      <c r="BR2">
        <f t="shared" si="0"/>
        <v>69</v>
      </c>
      <c r="BS2">
        <f t="shared" si="0"/>
        <v>70</v>
      </c>
      <c r="BT2">
        <f t="shared" si="0"/>
        <v>71</v>
      </c>
      <c r="BU2">
        <f t="shared" si="0"/>
        <v>72</v>
      </c>
      <c r="BV2">
        <f t="shared" si="0"/>
        <v>73</v>
      </c>
      <c r="BW2">
        <f t="shared" si="0"/>
        <v>74</v>
      </c>
      <c r="BX2">
        <f t="shared" si="0"/>
        <v>75</v>
      </c>
      <c r="BY2">
        <f t="shared" si="0"/>
        <v>76</v>
      </c>
      <c r="BZ2">
        <f t="shared" si="0"/>
        <v>77</v>
      </c>
      <c r="CA2">
        <f t="shared" si="0"/>
        <v>78</v>
      </c>
      <c r="CB2">
        <f t="shared" si="0"/>
        <v>79</v>
      </c>
      <c r="CC2">
        <f t="shared" si="0"/>
        <v>80</v>
      </c>
      <c r="CD2">
        <f t="shared" si="0"/>
        <v>81</v>
      </c>
      <c r="CE2">
        <f t="shared" si="0"/>
        <v>82</v>
      </c>
      <c r="CF2">
        <f t="shared" si="0"/>
        <v>83</v>
      </c>
      <c r="CG2">
        <f t="shared" si="0"/>
        <v>84</v>
      </c>
      <c r="CH2">
        <f t="shared" si="0"/>
        <v>85</v>
      </c>
      <c r="CI2">
        <f t="shared" si="0"/>
        <v>86</v>
      </c>
      <c r="CJ2">
        <f t="shared" si="0"/>
        <v>87</v>
      </c>
      <c r="CK2" t="s">
        <v>5</v>
      </c>
      <c r="CL2" t="s">
        <v>2</v>
      </c>
      <c r="CM2" t="s">
        <v>3</v>
      </c>
      <c r="CN2" t="s">
        <v>4</v>
      </c>
    </row>
    <row r="3" spans="1:97" x14ac:dyDescent="0.25">
      <c r="A3">
        <v>0</v>
      </c>
      <c r="B3">
        <v>1.288084528</v>
      </c>
      <c r="C3">
        <v>1.152539854</v>
      </c>
      <c r="D3">
        <v>1.0069333330000001</v>
      </c>
      <c r="E3">
        <v>1.2911192229999999</v>
      </c>
      <c r="F3">
        <v>1.3073672590000001</v>
      </c>
      <c r="G3">
        <v>1.3073672590000001</v>
      </c>
      <c r="H3">
        <v>1.8102677570000001</v>
      </c>
      <c r="I3">
        <v>1.3673207279999999</v>
      </c>
      <c r="J3">
        <v>1.6482546840000001</v>
      </c>
      <c r="K3">
        <v>1.1369230640000001</v>
      </c>
      <c r="L3">
        <v>1.1941553170000001</v>
      </c>
      <c r="M3">
        <v>1.1936371180000001</v>
      </c>
      <c r="N3">
        <v>1.370461299</v>
      </c>
      <c r="O3">
        <v>1.421987527</v>
      </c>
      <c r="P3">
        <v>1.141979426</v>
      </c>
      <c r="Q3">
        <v>1.735680653</v>
      </c>
      <c r="R3">
        <v>1.0982040580000001</v>
      </c>
      <c r="S3">
        <v>1.223134419</v>
      </c>
      <c r="T3">
        <v>1.099618059</v>
      </c>
      <c r="U3">
        <v>1.3673548200000001</v>
      </c>
      <c r="V3">
        <v>1.5527305549999999</v>
      </c>
      <c r="W3">
        <v>1.481498196</v>
      </c>
      <c r="X3">
        <v>1.5698788770000001</v>
      </c>
      <c r="Y3">
        <v>1.097913184</v>
      </c>
      <c r="Z3">
        <v>1.2646605360000001</v>
      </c>
      <c r="AB3">
        <v>1.727530542</v>
      </c>
      <c r="AC3">
        <v>1.3592033450000001</v>
      </c>
      <c r="AD3">
        <v>1.3279555119999999</v>
      </c>
      <c r="AE3">
        <v>1.453688155</v>
      </c>
      <c r="AF3">
        <v>1.29429682</v>
      </c>
      <c r="AG3">
        <v>1.480800221</v>
      </c>
      <c r="AH3">
        <v>1.6239666100000001</v>
      </c>
      <c r="AI3">
        <v>1.5469439810000001</v>
      </c>
      <c r="AJ3">
        <v>1.5067602760000001</v>
      </c>
      <c r="AK3">
        <v>1.2933583719999999</v>
      </c>
      <c r="AL3">
        <v>1.696934583</v>
      </c>
      <c r="AM3">
        <v>1.1148916769999999</v>
      </c>
      <c r="AN3">
        <v>1.1826000000000001</v>
      </c>
      <c r="AO3">
        <v>1.059743952</v>
      </c>
      <c r="AP3">
        <v>1.2660333290000001</v>
      </c>
      <c r="AQ3">
        <v>1.2401472179999999</v>
      </c>
      <c r="AR3">
        <v>1.3913916710000001</v>
      </c>
      <c r="AS3">
        <v>1.234941667</v>
      </c>
      <c r="AT3">
        <v>1.766076043</v>
      </c>
      <c r="AU3">
        <v>1.5945444559999999</v>
      </c>
      <c r="AV3">
        <v>1.445930556</v>
      </c>
      <c r="AW3">
        <v>1.844037471</v>
      </c>
      <c r="AY3">
        <v>1.554458329</v>
      </c>
      <c r="AZ3">
        <v>1.5671027829999999</v>
      </c>
      <c r="BA3">
        <v>1.1701944479999999</v>
      </c>
      <c r="BB3">
        <v>1.072013984</v>
      </c>
      <c r="BC3">
        <v>1.54789098</v>
      </c>
      <c r="BD3">
        <v>1.189196055</v>
      </c>
      <c r="BE3">
        <v>1.3248217360000001</v>
      </c>
      <c r="BF3">
        <v>1.2378547609999999</v>
      </c>
      <c r="BG3">
        <v>2.3914915579999998</v>
      </c>
      <c r="BH3">
        <v>1.348558256</v>
      </c>
      <c r="BI3">
        <v>2.2000000480000002</v>
      </c>
      <c r="BJ3">
        <v>1.6913170230000001</v>
      </c>
      <c r="BK3">
        <v>1.456769443</v>
      </c>
      <c r="BL3">
        <v>1.2484500119999999</v>
      </c>
      <c r="BM3">
        <v>1.234941667</v>
      </c>
      <c r="BN3">
        <v>1.302905556</v>
      </c>
      <c r="BO3">
        <v>1.3177805570000001</v>
      </c>
      <c r="BP3">
        <v>1.454238884</v>
      </c>
      <c r="BQ3">
        <v>1.2942888770000001</v>
      </c>
      <c r="BR3">
        <v>1.6249638790000001</v>
      </c>
      <c r="BS3">
        <v>1.480802776</v>
      </c>
      <c r="BT3">
        <v>1.547782598</v>
      </c>
      <c r="BU3">
        <v>1.6956018989999999</v>
      </c>
      <c r="BV3">
        <v>1.5075583210000001</v>
      </c>
      <c r="BW3">
        <v>1.2712777930000001</v>
      </c>
      <c r="BX3">
        <v>1.2933749969999999</v>
      </c>
      <c r="BY3">
        <v>1.704657447</v>
      </c>
      <c r="BZ3">
        <v>1.6966282130000001</v>
      </c>
      <c r="CA3">
        <v>1.330714087</v>
      </c>
      <c r="CB3">
        <v>1.2639827729999999</v>
      </c>
      <c r="CC3">
        <v>1.0593627189999999</v>
      </c>
      <c r="CD3">
        <v>1.4020428170000001</v>
      </c>
      <c r="CE3">
        <v>1.5657099109999999</v>
      </c>
      <c r="CF3">
        <v>1.199268424</v>
      </c>
      <c r="CG3">
        <v>1.5946692730000001</v>
      </c>
      <c r="CH3">
        <v>1.554445675</v>
      </c>
      <c r="CI3">
        <v>1.5669066199999999</v>
      </c>
      <c r="CJ3">
        <v>1.1708785129999999</v>
      </c>
      <c r="CK3">
        <v>0</v>
      </c>
      <c r="CL3">
        <f>AVERAGE(B3:CJ3)</f>
        <v>1.4084206103764709</v>
      </c>
      <c r="CM3">
        <f t="shared" ref="CM3:CM21" si="1">STDEV(B3:CJ3)</f>
        <v>0.24503128347259631</v>
      </c>
      <c r="CN3">
        <f t="shared" ref="CN3:CN21" si="2">CM3/SQRT(COUNT(B3:CJ3))</f>
        <v>2.6577374251801619E-2</v>
      </c>
    </row>
    <row r="4" spans="1:97" x14ac:dyDescent="0.25">
      <c r="A4">
        <v>1</v>
      </c>
      <c r="B4">
        <v>1.386046232</v>
      </c>
      <c r="C4">
        <v>1.2283623400000001</v>
      </c>
      <c r="D4">
        <v>1.2763333509999999</v>
      </c>
      <c r="E4">
        <v>1.3381444739999999</v>
      </c>
      <c r="F4">
        <v>1.3086406189999999</v>
      </c>
      <c r="G4">
        <v>1.3086406189999999</v>
      </c>
      <c r="H4">
        <v>1.420864124</v>
      </c>
      <c r="I4">
        <v>1.3785630390000001</v>
      </c>
      <c r="J4">
        <v>1.351130561</v>
      </c>
      <c r="K4">
        <v>1.078922221</v>
      </c>
      <c r="L4">
        <v>1.2439977739999999</v>
      </c>
      <c r="M4">
        <v>1.307367983</v>
      </c>
      <c r="N4">
        <v>1.1037631990000001</v>
      </c>
      <c r="O4">
        <v>1.550083592</v>
      </c>
      <c r="P4">
        <v>1.2526994810000001</v>
      </c>
      <c r="Q4">
        <v>1.033560078</v>
      </c>
      <c r="R4">
        <v>1.0794496950000001</v>
      </c>
      <c r="S4">
        <v>1.3848246019999999</v>
      </c>
      <c r="T4">
        <v>1.0686418310000001</v>
      </c>
      <c r="U4">
        <v>1.5131500010000001</v>
      </c>
      <c r="V4">
        <v>1.761419447</v>
      </c>
      <c r="W4">
        <v>1.5539048049999999</v>
      </c>
      <c r="X4">
        <v>1.3622710899999999</v>
      </c>
      <c r="Y4">
        <v>1.109810798</v>
      </c>
      <c r="Z4">
        <v>1.3306385169999999</v>
      </c>
      <c r="AB4">
        <v>1.625499161</v>
      </c>
      <c r="AC4">
        <v>1.3636498159999999</v>
      </c>
      <c r="AD4">
        <v>1.350710794</v>
      </c>
      <c r="AE4">
        <v>1.557297224</v>
      </c>
      <c r="AF4">
        <v>1.006521735</v>
      </c>
      <c r="AG4">
        <v>1.5330747870000001</v>
      </c>
      <c r="AH4">
        <v>1.5409733029999999</v>
      </c>
      <c r="AI4">
        <v>1.6617444450000001</v>
      </c>
      <c r="AJ4">
        <v>1.5566815009999999</v>
      </c>
      <c r="AK4">
        <v>1.263510417</v>
      </c>
      <c r="AL4">
        <v>1.545190742</v>
      </c>
      <c r="AM4">
        <v>1.080658342</v>
      </c>
      <c r="AN4">
        <v>1.196063388</v>
      </c>
      <c r="AO4">
        <v>1.1332303340000001</v>
      </c>
      <c r="AP4">
        <v>1.32261111</v>
      </c>
      <c r="AQ4">
        <v>1.3807222109999999</v>
      </c>
      <c r="AR4">
        <v>1.5108541959999999</v>
      </c>
      <c r="AS4">
        <v>1.447305566</v>
      </c>
      <c r="AT4">
        <v>1.3045222240000001</v>
      </c>
      <c r="AU4">
        <v>1.7798944480000001</v>
      </c>
      <c r="AV4">
        <v>1.5870733699999999</v>
      </c>
      <c r="AW4">
        <v>1.568899998</v>
      </c>
      <c r="AY4">
        <v>1.561311109</v>
      </c>
      <c r="AZ4">
        <v>1.548779543</v>
      </c>
      <c r="BA4">
        <v>1.2079744400000001</v>
      </c>
      <c r="BB4">
        <v>1.1351144989999999</v>
      </c>
      <c r="BC4">
        <v>1.650820148</v>
      </c>
      <c r="BD4">
        <v>1.3702271340000001</v>
      </c>
      <c r="BE4">
        <v>1.312981618</v>
      </c>
      <c r="BF4">
        <v>1.2660400439999999</v>
      </c>
      <c r="BG4">
        <v>2.4093436100000001</v>
      </c>
      <c r="BH4">
        <v>1.365316676</v>
      </c>
      <c r="BI4">
        <v>1.9191958090000001</v>
      </c>
      <c r="BJ4">
        <v>1.821822737</v>
      </c>
      <c r="BK4">
        <v>1.637152765</v>
      </c>
      <c r="BL4">
        <v>1.3603388890000001</v>
      </c>
      <c r="BM4">
        <v>1.447305566</v>
      </c>
      <c r="BN4">
        <v>1.359736037</v>
      </c>
      <c r="BO4">
        <v>1.441172221</v>
      </c>
      <c r="BP4">
        <v>1.557297224</v>
      </c>
      <c r="BQ4">
        <v>0.97791666099999996</v>
      </c>
      <c r="BR4">
        <v>1.5409722210000001</v>
      </c>
      <c r="BS4">
        <v>1.533055558</v>
      </c>
      <c r="BT4">
        <v>1.6617444450000001</v>
      </c>
      <c r="BU4">
        <v>1.17300278</v>
      </c>
      <c r="BV4">
        <v>1.5564361099999999</v>
      </c>
      <c r="BW4">
        <v>1.294313891</v>
      </c>
      <c r="BX4">
        <v>1.2636510000000001</v>
      </c>
      <c r="BY4">
        <v>1.5383527589999999</v>
      </c>
      <c r="BZ4">
        <v>1.5452388770000001</v>
      </c>
      <c r="CA4">
        <v>1.1532694480000001</v>
      </c>
      <c r="CB4">
        <v>1.3110202870000001</v>
      </c>
      <c r="CC4">
        <v>1.1335994410000001</v>
      </c>
      <c r="CD4">
        <v>1.46523811</v>
      </c>
      <c r="CE4">
        <v>1.5956444430000001</v>
      </c>
      <c r="CF4">
        <v>1.3940316690000001</v>
      </c>
      <c r="CG4">
        <v>1.7798944480000001</v>
      </c>
      <c r="CH4">
        <v>1.561311109</v>
      </c>
      <c r="CI4">
        <v>1.5489638939999999</v>
      </c>
      <c r="CJ4">
        <v>1.2086305580000001</v>
      </c>
      <c r="CK4">
        <v>1</v>
      </c>
      <c r="CL4">
        <f>AVERAGE(B4:CJ4)</f>
        <v>1.4077192630941175</v>
      </c>
      <c r="CM4">
        <f t="shared" si="1"/>
        <v>0.22978275679851076</v>
      </c>
      <c r="CN4">
        <f t="shared" si="2"/>
        <v>2.4923439315566936E-2</v>
      </c>
    </row>
    <row r="5" spans="1:97" x14ac:dyDescent="0.25">
      <c r="A5">
        <v>2</v>
      </c>
      <c r="B5">
        <v>1.349621483</v>
      </c>
      <c r="C5">
        <v>1.2181093270000001</v>
      </c>
      <c r="D5">
        <v>1.298719322</v>
      </c>
      <c r="E5">
        <v>1.32406782</v>
      </c>
      <c r="F5">
        <v>1.2748462789999999</v>
      </c>
      <c r="G5">
        <v>1.2748462789999999</v>
      </c>
      <c r="H5">
        <v>1.4264851359999999</v>
      </c>
      <c r="I5">
        <v>1.353157744</v>
      </c>
      <c r="J5">
        <v>1.3955527759999999</v>
      </c>
      <c r="K5">
        <v>1.1240555569999999</v>
      </c>
      <c r="L5">
        <v>1.220127846</v>
      </c>
      <c r="M5">
        <v>1.3002028379999999</v>
      </c>
      <c r="N5">
        <v>1.1291377380000001</v>
      </c>
      <c r="O5">
        <v>1.566389512</v>
      </c>
      <c r="P5">
        <v>1.2685000019999999</v>
      </c>
      <c r="Q5">
        <v>1.2855083309999999</v>
      </c>
      <c r="R5">
        <v>1.0426277799999999</v>
      </c>
      <c r="S5">
        <v>1.4307178629999999</v>
      </c>
      <c r="T5">
        <v>1.158379206</v>
      </c>
      <c r="U5">
        <v>1.4908757290000001</v>
      </c>
      <c r="V5">
        <v>1.495522214</v>
      </c>
      <c r="W5">
        <v>1.5755846309999999</v>
      </c>
      <c r="X5">
        <v>1.3907687870000001</v>
      </c>
      <c r="Y5">
        <v>1.194927734</v>
      </c>
      <c r="Z5">
        <v>1.3951978279999999</v>
      </c>
      <c r="AB5">
        <v>1.6554246610000001</v>
      </c>
      <c r="AC5">
        <v>1.3531037029999999</v>
      </c>
      <c r="AD5">
        <v>1.416852411</v>
      </c>
      <c r="AE5">
        <v>1.5394052279999999</v>
      </c>
      <c r="AF5">
        <v>1.2083328710000001</v>
      </c>
      <c r="AG5">
        <v>1.532944694</v>
      </c>
      <c r="AH5">
        <v>1.47844401</v>
      </c>
      <c r="AI5">
        <v>1.739766666</v>
      </c>
      <c r="AJ5">
        <v>1.5835712420000001</v>
      </c>
      <c r="AK5">
        <v>1.2544187929999999</v>
      </c>
      <c r="AL5">
        <v>1.588344926</v>
      </c>
      <c r="AM5">
        <v>1.05745278</v>
      </c>
      <c r="AN5">
        <v>1.271558314</v>
      </c>
      <c r="AO5">
        <v>1.114850348</v>
      </c>
      <c r="AP5">
        <v>1.4308972179999999</v>
      </c>
      <c r="AQ5">
        <v>1.410180545</v>
      </c>
      <c r="AR5">
        <v>0.83352253700000001</v>
      </c>
      <c r="AS5">
        <v>1.4884972379999999</v>
      </c>
      <c r="AT5">
        <v>1.056787997</v>
      </c>
      <c r="AU5">
        <v>1.805026419</v>
      </c>
      <c r="AV5">
        <v>1.5434983289999999</v>
      </c>
      <c r="AW5">
        <v>1.604591683</v>
      </c>
      <c r="AY5">
        <v>1.527480556</v>
      </c>
      <c r="AZ5">
        <v>1.598038337</v>
      </c>
      <c r="BA5">
        <v>1.2303916699999999</v>
      </c>
      <c r="BB5">
        <v>1.1665747980000001</v>
      </c>
      <c r="BC5">
        <v>1.652663639</v>
      </c>
      <c r="BD5">
        <v>1.268917064</v>
      </c>
      <c r="BE5">
        <v>1.285452255</v>
      </c>
      <c r="BF5">
        <v>1.2346048940000001</v>
      </c>
      <c r="BG5">
        <v>2.3849193199999998</v>
      </c>
      <c r="BH5">
        <v>1.358905571</v>
      </c>
      <c r="BI5">
        <v>1.9264236349999999</v>
      </c>
      <c r="BL5">
        <v>1.395202775</v>
      </c>
      <c r="BM5">
        <v>1.4884972379999999</v>
      </c>
      <c r="BN5">
        <v>1.3914749989999999</v>
      </c>
      <c r="BO5">
        <v>1.4952694449999999</v>
      </c>
      <c r="BP5">
        <v>1.539455558</v>
      </c>
      <c r="BQ5">
        <v>1.2083023070000001</v>
      </c>
      <c r="BR5">
        <v>1.4784527750000001</v>
      </c>
      <c r="BS5">
        <v>1.5332311700000001</v>
      </c>
      <c r="BT5">
        <v>1.739766666</v>
      </c>
      <c r="BU5">
        <v>1.2291305619999999</v>
      </c>
      <c r="BV5">
        <v>1.583600235</v>
      </c>
      <c r="BW5">
        <v>1.3167527800000001</v>
      </c>
      <c r="BX5">
        <v>1.254536106</v>
      </c>
      <c r="BY5">
        <v>1.5604390109999999</v>
      </c>
      <c r="BZ5">
        <v>1.588422225</v>
      </c>
      <c r="CA5">
        <v>1.1452725210000001</v>
      </c>
      <c r="CB5">
        <v>1.3108365719999999</v>
      </c>
      <c r="CC5">
        <v>1.114636309</v>
      </c>
      <c r="CD5">
        <v>1.4939688689999999</v>
      </c>
      <c r="CE5">
        <v>1.5721249960000001</v>
      </c>
      <c r="CF5">
        <v>1.489044442</v>
      </c>
      <c r="CG5">
        <v>1.805075008</v>
      </c>
      <c r="CH5">
        <v>1.527480556</v>
      </c>
      <c r="CI5">
        <v>1.598038337</v>
      </c>
      <c r="CJ5">
        <v>1.2303916699999999</v>
      </c>
      <c r="CK5">
        <v>2</v>
      </c>
      <c r="CL5">
        <f t="shared" ref="CL5:CL22" si="3">AVERAGE(B5:CJ5)</f>
        <v>1.4057250270602408</v>
      </c>
      <c r="CM5">
        <f t="shared" si="1"/>
        <v>0.22567271841976397</v>
      </c>
      <c r="CN5">
        <f t="shared" si="2"/>
        <v>2.4770798937207152E-2</v>
      </c>
    </row>
    <row r="6" spans="1:97" x14ac:dyDescent="0.25">
      <c r="A6">
        <v>3</v>
      </c>
      <c r="B6">
        <v>0.988653844</v>
      </c>
      <c r="C6">
        <v>1.170570291</v>
      </c>
      <c r="D6">
        <v>1.324710952</v>
      </c>
      <c r="E6">
        <v>1.3521114160000001</v>
      </c>
      <c r="F6">
        <v>1.37974167</v>
      </c>
      <c r="G6">
        <v>1.37974167</v>
      </c>
      <c r="H6">
        <v>1.424719109</v>
      </c>
      <c r="I6">
        <v>1.326631406</v>
      </c>
      <c r="J6">
        <v>1.3925722190000001</v>
      </c>
      <c r="K6">
        <v>1.1297575609999999</v>
      </c>
      <c r="L6">
        <v>1.1565137619999999</v>
      </c>
      <c r="M6">
        <v>1.291706032</v>
      </c>
      <c r="N6">
        <v>1.093680553</v>
      </c>
      <c r="O6">
        <v>1.5403780899999999</v>
      </c>
      <c r="P6">
        <v>1.3662447099999999</v>
      </c>
      <c r="Q6">
        <v>1.176602564</v>
      </c>
      <c r="R6">
        <v>1.1246230859999999</v>
      </c>
      <c r="S6">
        <v>1.413664746</v>
      </c>
      <c r="T6">
        <v>1.121005558</v>
      </c>
      <c r="U6">
        <v>1.435072224</v>
      </c>
      <c r="V6">
        <v>1.487699994</v>
      </c>
      <c r="W6">
        <v>1.562896496</v>
      </c>
      <c r="X6">
        <v>1.338196486</v>
      </c>
      <c r="Y6">
        <v>1.2384523460000001</v>
      </c>
      <c r="Z6">
        <v>1.3289467049999999</v>
      </c>
      <c r="AB6">
        <v>1.623315676</v>
      </c>
      <c r="AC6">
        <v>1.340809242</v>
      </c>
      <c r="AD6">
        <v>1.402990792</v>
      </c>
      <c r="AE6">
        <v>1.5726620389999999</v>
      </c>
      <c r="AF6">
        <v>1.207511834</v>
      </c>
      <c r="AH6">
        <v>1.4710956690000001</v>
      </c>
      <c r="AI6">
        <v>1.6949750159999999</v>
      </c>
      <c r="AJ6">
        <v>1.537960475</v>
      </c>
      <c r="AK6">
        <v>1.211871033</v>
      </c>
      <c r="AL6">
        <v>1.5704094740000001</v>
      </c>
      <c r="AM6">
        <v>1.0393666640000001</v>
      </c>
      <c r="AN6">
        <v>1.284144427</v>
      </c>
      <c r="AO6">
        <v>1.08622248</v>
      </c>
      <c r="AP6">
        <v>1.3438444389999999</v>
      </c>
      <c r="AQ6">
        <v>1.3648596900000001</v>
      </c>
      <c r="AR6">
        <v>1.0865560999999999E-2</v>
      </c>
      <c r="AS6">
        <v>1.51919446</v>
      </c>
      <c r="AT6">
        <v>1.2999388350000001</v>
      </c>
      <c r="AU6">
        <v>1.796968602</v>
      </c>
      <c r="AV6">
        <v>1.5073950679999999</v>
      </c>
      <c r="AW6">
        <v>1.5795885839999999</v>
      </c>
      <c r="AY6">
        <v>1.4600278120000001</v>
      </c>
      <c r="AZ6">
        <v>1.5371877599999999</v>
      </c>
      <c r="BA6">
        <v>1.1584944429999999</v>
      </c>
      <c r="BB6">
        <v>1.115272679</v>
      </c>
      <c r="BC6">
        <v>1.653833331</v>
      </c>
      <c r="BD6">
        <v>1.282951639</v>
      </c>
      <c r="BE6">
        <v>1.1803105030000001</v>
      </c>
      <c r="BF6">
        <v>1.328666313</v>
      </c>
      <c r="BG6">
        <v>0.56240191500000003</v>
      </c>
      <c r="BH6">
        <v>1.3520889110000001</v>
      </c>
      <c r="BI6">
        <v>1.9162777790000001</v>
      </c>
      <c r="BL6">
        <v>1.4438194440000001</v>
      </c>
      <c r="BM6">
        <v>1.51919446</v>
      </c>
      <c r="BN6">
        <v>1.3706251599999999</v>
      </c>
      <c r="BO6">
        <v>1.455716668</v>
      </c>
      <c r="BP6">
        <v>1.572633342</v>
      </c>
      <c r="BQ6">
        <v>1.207455561</v>
      </c>
      <c r="BR6">
        <v>1.471000007</v>
      </c>
      <c r="BT6">
        <v>1.6949750159999999</v>
      </c>
      <c r="BU6">
        <v>1.176827769</v>
      </c>
      <c r="BV6">
        <v>1.5379110970000001</v>
      </c>
      <c r="BW6">
        <v>1.353634338</v>
      </c>
      <c r="BX6">
        <v>1.210519474</v>
      </c>
      <c r="BY6">
        <v>1.5701390040000001</v>
      </c>
      <c r="BZ6">
        <v>1.5703861139999999</v>
      </c>
      <c r="CA6">
        <v>1.1385916679999999</v>
      </c>
      <c r="CB6">
        <v>1.2825020819999999</v>
      </c>
      <c r="CC6">
        <v>1.0861117389999999</v>
      </c>
      <c r="CD6">
        <v>1.5187246320000001</v>
      </c>
      <c r="CE6">
        <v>1.534099992</v>
      </c>
      <c r="CF6">
        <v>1.587044458</v>
      </c>
      <c r="CG6">
        <v>1.7969741589999999</v>
      </c>
      <c r="CH6">
        <v>1.460025041</v>
      </c>
      <c r="CI6">
        <v>1.5373075839999999</v>
      </c>
      <c r="CJ6">
        <v>1.1584440110000001</v>
      </c>
      <c r="CK6">
        <v>3</v>
      </c>
      <c r="CL6">
        <f t="shared" si="3"/>
        <v>1.3557167833950616</v>
      </c>
      <c r="CM6">
        <f t="shared" si="1"/>
        <v>0.2598518295290182</v>
      </c>
      <c r="CN6">
        <f t="shared" si="2"/>
        <v>2.8872425503224244E-2</v>
      </c>
    </row>
    <row r="7" spans="1:97" x14ac:dyDescent="0.25">
      <c r="A7">
        <v>4</v>
      </c>
      <c r="D7">
        <v>1.2520088920000001</v>
      </c>
      <c r="F7">
        <v>1.4383111230000001</v>
      </c>
      <c r="G7">
        <v>1.4383111230000001</v>
      </c>
      <c r="H7">
        <v>1.423039234</v>
      </c>
      <c r="I7">
        <v>1.2755707119999999</v>
      </c>
      <c r="J7">
        <v>1.383611106</v>
      </c>
      <c r="K7">
        <v>1.095335443</v>
      </c>
      <c r="L7">
        <v>1.1397914929999999</v>
      </c>
      <c r="M7">
        <v>1.2607063409999999</v>
      </c>
      <c r="N7">
        <v>1.0735123019999999</v>
      </c>
      <c r="O7">
        <v>1.530312761</v>
      </c>
      <c r="P7">
        <v>1.431388031</v>
      </c>
      <c r="Q7">
        <v>1.211532209</v>
      </c>
      <c r="R7">
        <v>1.1036429350000001</v>
      </c>
      <c r="S7">
        <v>1.4075694139999999</v>
      </c>
      <c r="T7">
        <v>1.104055553</v>
      </c>
      <c r="U7">
        <v>1.445519733</v>
      </c>
      <c r="V7">
        <v>1.47925555</v>
      </c>
      <c r="W7">
        <v>1.5641453489999999</v>
      </c>
      <c r="X7">
        <v>1.2229064350000001</v>
      </c>
      <c r="Y7">
        <v>1.2259060610000001</v>
      </c>
      <c r="AB7">
        <v>1.6080791560000001</v>
      </c>
      <c r="AC7">
        <v>1.4088115859999999</v>
      </c>
      <c r="AD7">
        <v>1.369301611</v>
      </c>
      <c r="AE7">
        <v>1.5319154559999999</v>
      </c>
      <c r="AF7">
        <v>1.131485812</v>
      </c>
      <c r="AH7">
        <v>1.463633588</v>
      </c>
      <c r="AI7">
        <v>1.6727555510000001</v>
      </c>
      <c r="AJ7">
        <v>1.4730008590000001</v>
      </c>
      <c r="AK7">
        <v>1.1859042959999999</v>
      </c>
      <c r="AL7">
        <v>1.5848399719999999</v>
      </c>
      <c r="AM7">
        <v>0.97369722199999997</v>
      </c>
      <c r="AN7">
        <v>1.429199989</v>
      </c>
      <c r="AO7">
        <v>1.0848670949999999</v>
      </c>
      <c r="AP7">
        <v>1.317570336</v>
      </c>
      <c r="AQ7">
        <v>1.3319144190000001</v>
      </c>
      <c r="AS7">
        <v>1.551555582</v>
      </c>
      <c r="AT7">
        <v>1.304411679</v>
      </c>
      <c r="AU7">
        <v>1.7123361450000001</v>
      </c>
      <c r="AV7">
        <v>1.5691573919999999</v>
      </c>
      <c r="AW7">
        <v>1.566527663</v>
      </c>
      <c r="AY7">
        <v>1.4235194289999999</v>
      </c>
      <c r="AZ7">
        <v>1.5232860319999999</v>
      </c>
      <c r="BA7">
        <v>1.1585555519999999</v>
      </c>
      <c r="BB7">
        <v>1.1017031779999999</v>
      </c>
      <c r="BC7">
        <v>1.6549666649999999</v>
      </c>
      <c r="BE7">
        <v>1.164944559</v>
      </c>
      <c r="BF7">
        <v>1.2379949939999999</v>
      </c>
      <c r="BH7">
        <v>1.3473389149999999</v>
      </c>
      <c r="BI7">
        <v>1.9356000019999999</v>
      </c>
      <c r="BL7">
        <v>1.4720916799999999</v>
      </c>
      <c r="BM7">
        <v>1.551555582</v>
      </c>
      <c r="BN7">
        <v>1.3685888879999999</v>
      </c>
      <c r="BO7">
        <v>1.3775166670000001</v>
      </c>
      <c r="BP7">
        <v>1.5319388599999999</v>
      </c>
      <c r="BQ7">
        <v>1.1311975569999999</v>
      </c>
      <c r="BR7">
        <v>1.463675005</v>
      </c>
      <c r="BT7">
        <v>1.672752773</v>
      </c>
      <c r="BU7">
        <v>1.1631277419999999</v>
      </c>
      <c r="BV7">
        <v>1.4729944699999999</v>
      </c>
      <c r="BW7">
        <v>1.349630463</v>
      </c>
      <c r="BX7">
        <v>1.185911122</v>
      </c>
      <c r="BY7">
        <v>1.571566673</v>
      </c>
      <c r="BZ7">
        <v>1.584975005</v>
      </c>
      <c r="CA7">
        <v>1.119060854</v>
      </c>
      <c r="CB7">
        <v>1.2631036389999999</v>
      </c>
      <c r="CC7">
        <v>1.08506389</v>
      </c>
      <c r="CD7">
        <v>1.5055111059999999</v>
      </c>
      <c r="CE7">
        <v>1.56529444</v>
      </c>
      <c r="CF7">
        <v>1.5754404099999999</v>
      </c>
      <c r="CG7">
        <v>1.712345129</v>
      </c>
      <c r="CH7">
        <v>1.4235194289999999</v>
      </c>
      <c r="CI7">
        <v>1.5234259509999999</v>
      </c>
      <c r="CJ7">
        <v>1.1585555519999999</v>
      </c>
      <c r="CK7">
        <v>4</v>
      </c>
      <c r="CL7">
        <f t="shared" si="3"/>
        <v>1.3804614786756753</v>
      </c>
      <c r="CM7">
        <f t="shared" si="1"/>
        <v>0.19620982070551107</v>
      </c>
      <c r="CN7">
        <f t="shared" si="2"/>
        <v>2.2808928355363804E-2</v>
      </c>
    </row>
    <row r="8" spans="1:97" x14ac:dyDescent="0.25">
      <c r="A8">
        <v>5</v>
      </c>
      <c r="D8">
        <v>1.236140598</v>
      </c>
      <c r="F8">
        <v>1.37422618</v>
      </c>
      <c r="G8">
        <v>1.37422618</v>
      </c>
      <c r="H8">
        <v>1.4404869339999999</v>
      </c>
      <c r="I8">
        <v>1.248159799</v>
      </c>
      <c r="J8">
        <v>0.94452080800000005</v>
      </c>
      <c r="K8">
        <v>1.13419599</v>
      </c>
      <c r="L8">
        <v>1.1235696390000001</v>
      </c>
      <c r="M8">
        <v>1.226876909</v>
      </c>
      <c r="N8">
        <v>1.055812201</v>
      </c>
      <c r="O8">
        <v>1.513867107</v>
      </c>
      <c r="P8">
        <v>1.447333902</v>
      </c>
      <c r="Q8">
        <v>1.1771368639999999</v>
      </c>
      <c r="R8">
        <v>1.0842702239999999</v>
      </c>
      <c r="S8">
        <v>1.4112833</v>
      </c>
      <c r="T8">
        <v>1.108922218</v>
      </c>
      <c r="U8">
        <v>1.4621533790000001</v>
      </c>
      <c r="V8">
        <v>1.485047217</v>
      </c>
      <c r="W8">
        <v>1.559074716</v>
      </c>
      <c r="Y8">
        <v>1.2859809849999999</v>
      </c>
      <c r="AB8">
        <v>1.613903766</v>
      </c>
      <c r="AD8">
        <v>1.3781110089999999</v>
      </c>
      <c r="AE8">
        <v>1.506112736</v>
      </c>
      <c r="AF8">
        <v>1.138201561</v>
      </c>
      <c r="AH8">
        <v>1.3503499969999999</v>
      </c>
      <c r="AI8">
        <v>1.6744249760000001</v>
      </c>
      <c r="AJ8">
        <v>1.4269297080000001</v>
      </c>
      <c r="AK8">
        <v>1.1664470899999999</v>
      </c>
      <c r="AL8">
        <v>1.5527211670000001</v>
      </c>
      <c r="AM8">
        <v>0.92586111999999998</v>
      </c>
      <c r="AN8">
        <v>1.42064444</v>
      </c>
      <c r="AO8">
        <v>1.1011888949999999</v>
      </c>
      <c r="AQ8">
        <v>0.90706521699999998</v>
      </c>
      <c r="AS8">
        <v>1.4286166760000001</v>
      </c>
      <c r="AT8">
        <v>1.2872416630000001</v>
      </c>
      <c r="AU8">
        <v>1.6900834280000001</v>
      </c>
      <c r="AV8">
        <v>1.6419349329999999</v>
      </c>
      <c r="AW8">
        <v>1.535248642</v>
      </c>
      <c r="AY8">
        <v>1.37661111</v>
      </c>
      <c r="AZ8">
        <v>1.561545126</v>
      </c>
      <c r="BA8">
        <v>1.173716628</v>
      </c>
      <c r="BB8">
        <v>1.082774704</v>
      </c>
      <c r="BE8">
        <v>1.2127971369999999</v>
      </c>
      <c r="BF8">
        <v>1.3494606840000001</v>
      </c>
      <c r="BH8">
        <v>1.340766699</v>
      </c>
      <c r="BI8">
        <v>1.914144445</v>
      </c>
      <c r="BL8">
        <v>1.11490833</v>
      </c>
      <c r="BM8">
        <v>1.4286166760000001</v>
      </c>
      <c r="BN8">
        <v>1.3726148680000001</v>
      </c>
      <c r="BO8">
        <v>1.3625388890000001</v>
      </c>
      <c r="BP8">
        <v>1.5061028439999999</v>
      </c>
      <c r="BQ8">
        <v>1.1381472239999999</v>
      </c>
      <c r="BR8">
        <v>1.3503861079999999</v>
      </c>
      <c r="BT8">
        <v>1.6744249760000001</v>
      </c>
      <c r="BU8">
        <v>1.1322999929999999</v>
      </c>
      <c r="BV8">
        <v>1.4269166719999999</v>
      </c>
      <c r="BW8">
        <v>1.3431277989999999</v>
      </c>
      <c r="BX8">
        <v>1.1664583120000001</v>
      </c>
      <c r="BY8">
        <v>1.535366663</v>
      </c>
      <c r="BZ8">
        <v>1.552744409</v>
      </c>
      <c r="CA8">
        <v>1.170911104</v>
      </c>
      <c r="CB8">
        <v>1.259961069</v>
      </c>
      <c r="CC8">
        <v>1.1020250030000001</v>
      </c>
      <c r="CD8">
        <v>1.4752472210000001</v>
      </c>
      <c r="CE8">
        <v>1.5788746890000001</v>
      </c>
      <c r="CF8">
        <v>1.5248439650000001</v>
      </c>
      <c r="CG8">
        <v>1.6900750250000001</v>
      </c>
      <c r="CH8">
        <v>1.37661111</v>
      </c>
      <c r="CI8">
        <v>1.5615609610000001</v>
      </c>
      <c r="CJ8">
        <v>1.173716628</v>
      </c>
      <c r="CK8">
        <v>5</v>
      </c>
      <c r="CL8">
        <f t="shared" si="3"/>
        <v>1.3495524177857143</v>
      </c>
      <c r="CM8">
        <f t="shared" si="1"/>
        <v>0.20728185648840525</v>
      </c>
      <c r="CN8">
        <f t="shared" si="2"/>
        <v>2.4774920507088797E-2</v>
      </c>
    </row>
    <row r="9" spans="1:97" x14ac:dyDescent="0.25">
      <c r="A9">
        <v>6</v>
      </c>
      <c r="D9">
        <v>1.144554979</v>
      </c>
      <c r="F9">
        <v>1.342701508</v>
      </c>
      <c r="G9">
        <v>1.342701508</v>
      </c>
      <c r="H9">
        <v>1.178635686</v>
      </c>
      <c r="I9">
        <v>1.232589808</v>
      </c>
      <c r="K9">
        <v>1.144466663</v>
      </c>
      <c r="L9">
        <v>1.096301865</v>
      </c>
      <c r="M9">
        <v>1.213562292</v>
      </c>
      <c r="N9">
        <v>1.0494654779999999</v>
      </c>
      <c r="O9">
        <v>1.448011111</v>
      </c>
      <c r="P9">
        <v>1.3989138969999999</v>
      </c>
      <c r="Q9">
        <v>1.15615168</v>
      </c>
      <c r="R9">
        <v>1.052035601</v>
      </c>
      <c r="S9">
        <v>1.298122201</v>
      </c>
      <c r="T9">
        <v>1.0956861090000001</v>
      </c>
      <c r="U9">
        <v>1.4332443770000001</v>
      </c>
      <c r="V9">
        <v>1.49374166</v>
      </c>
      <c r="W9">
        <v>1.551518124</v>
      </c>
      <c r="AD9">
        <v>1.3430762940000001</v>
      </c>
      <c r="AF9">
        <v>1.1209899919999999</v>
      </c>
      <c r="AI9">
        <v>1.651501814</v>
      </c>
      <c r="AJ9">
        <v>1.3828038890000001</v>
      </c>
      <c r="AK9">
        <v>1.146961828</v>
      </c>
      <c r="AL9">
        <v>1.518909657</v>
      </c>
      <c r="AM9">
        <v>0.87914260099999997</v>
      </c>
      <c r="AN9">
        <v>1.433475002</v>
      </c>
      <c r="AO9">
        <v>1.1431091760000001</v>
      </c>
      <c r="AS9">
        <v>0.96404255500000002</v>
      </c>
      <c r="AT9">
        <v>1.291511949</v>
      </c>
      <c r="AU9">
        <v>1.6793327600000001</v>
      </c>
      <c r="AV9">
        <v>1.6497220450000001</v>
      </c>
      <c r="AW9">
        <v>1.5237141839999999</v>
      </c>
      <c r="AY9">
        <v>1.3448527990000001</v>
      </c>
      <c r="AZ9">
        <v>1.502291204</v>
      </c>
      <c r="BA9">
        <v>1.1668999659999999</v>
      </c>
      <c r="BB9">
        <v>1.163708333</v>
      </c>
      <c r="BE9">
        <v>1.199273563</v>
      </c>
      <c r="BF9">
        <v>1.3451000829999999</v>
      </c>
      <c r="BH9">
        <v>1.3345555929999999</v>
      </c>
      <c r="BI9">
        <v>1.934353207</v>
      </c>
      <c r="BN9">
        <v>1.36032518</v>
      </c>
      <c r="BO9">
        <v>1.349347222</v>
      </c>
      <c r="BQ9">
        <v>1.1205750029999999</v>
      </c>
      <c r="BT9">
        <v>1.651505451</v>
      </c>
      <c r="BU9">
        <v>1.147302756</v>
      </c>
      <c r="BV9">
        <v>1.3828038890000001</v>
      </c>
      <c r="BW9">
        <v>1.316691697</v>
      </c>
      <c r="BX9">
        <v>1.1469722010000001</v>
      </c>
      <c r="BY9">
        <v>1.4791025280000001</v>
      </c>
      <c r="BZ9">
        <v>1.5190010629999999</v>
      </c>
      <c r="CA9">
        <v>1.1407333180000001</v>
      </c>
      <c r="CB9">
        <v>1.2424603750000001</v>
      </c>
      <c r="CC9">
        <v>1.1431083120000001</v>
      </c>
      <c r="CD9">
        <v>1.4335749959999999</v>
      </c>
      <c r="CE9">
        <v>1.487808338</v>
      </c>
      <c r="CG9">
        <v>1.6793277600000001</v>
      </c>
      <c r="CH9">
        <v>1.3448527990000001</v>
      </c>
      <c r="CI9">
        <v>1.5023567069999999</v>
      </c>
      <c r="CJ9">
        <v>1.1668999659999999</v>
      </c>
      <c r="CK9">
        <v>6</v>
      </c>
      <c r="CL9">
        <f t="shared" si="3"/>
        <v>1.3221437729152543</v>
      </c>
      <c r="CM9">
        <f t="shared" si="1"/>
        <v>0.2040258517507299</v>
      </c>
      <c r="CN9">
        <f t="shared" si="2"/>
        <v>2.6561903451362542E-2</v>
      </c>
    </row>
    <row r="10" spans="1:97" x14ac:dyDescent="0.25">
      <c r="A10">
        <v>7</v>
      </c>
      <c r="D10">
        <v>1.4760088950000001</v>
      </c>
      <c r="F10">
        <v>1.3648972180000001</v>
      </c>
      <c r="G10">
        <v>1.3648972180000001</v>
      </c>
      <c r="I10">
        <v>1.2284225200000001</v>
      </c>
      <c r="K10">
        <v>1.1581388850000001</v>
      </c>
      <c r="L10">
        <v>1.098909651</v>
      </c>
      <c r="M10">
        <v>1.223698554</v>
      </c>
      <c r="N10">
        <v>1.155091925</v>
      </c>
      <c r="O10">
        <v>1.420589707</v>
      </c>
      <c r="P10">
        <v>1.3199250069999999</v>
      </c>
      <c r="Q10">
        <v>1.1480016470000001</v>
      </c>
      <c r="R10">
        <v>1.023688886</v>
      </c>
      <c r="T10">
        <v>1.072883338</v>
      </c>
      <c r="U10">
        <v>1.4397748779999999</v>
      </c>
      <c r="V10">
        <v>1.4968805489999999</v>
      </c>
      <c r="W10">
        <v>1.5529240010000001</v>
      </c>
      <c r="AD10">
        <v>1.343352256</v>
      </c>
      <c r="AF10">
        <v>1.0163865519999999</v>
      </c>
      <c r="AJ10">
        <v>1.3510932040000001</v>
      </c>
      <c r="AK10">
        <v>1.1159317179999999</v>
      </c>
      <c r="AM10">
        <v>0.88896330700000004</v>
      </c>
      <c r="AN10">
        <v>1.4339109919999999</v>
      </c>
      <c r="AO10">
        <v>1.165459813</v>
      </c>
      <c r="AT10">
        <v>1.294515138</v>
      </c>
      <c r="AU10">
        <v>1.6776906279999999</v>
      </c>
      <c r="AV10">
        <v>1.656238493</v>
      </c>
      <c r="AW10">
        <v>1.5116124440000001</v>
      </c>
      <c r="AY10">
        <v>0.87746480400000004</v>
      </c>
      <c r="AZ10">
        <v>1.1091144639999999</v>
      </c>
      <c r="BA10">
        <v>1.15310917</v>
      </c>
      <c r="BB10">
        <v>1.1771972040000001</v>
      </c>
      <c r="BE10">
        <v>1.1622284119999999</v>
      </c>
      <c r="BF10">
        <v>1.3487305359999999</v>
      </c>
      <c r="BH10">
        <v>1.3344389249999999</v>
      </c>
      <c r="BN10">
        <v>1.351977778</v>
      </c>
      <c r="BO10">
        <v>1.341891664</v>
      </c>
      <c r="BQ10">
        <v>1.0120920470000001</v>
      </c>
      <c r="BU10">
        <v>1.2054777910000001</v>
      </c>
      <c r="BV10">
        <v>1.351086432</v>
      </c>
      <c r="BW10">
        <v>1.335908367</v>
      </c>
      <c r="BX10">
        <v>1.11668542</v>
      </c>
      <c r="BY10">
        <v>1.505902764</v>
      </c>
      <c r="CA10">
        <v>1.153776022</v>
      </c>
      <c r="CB10">
        <v>1.2053433360000001</v>
      </c>
      <c r="CC10">
        <v>1.1654582959999999</v>
      </c>
      <c r="CD10">
        <v>1.438807666</v>
      </c>
      <c r="CE10">
        <v>1.4728805570000001</v>
      </c>
      <c r="CG10">
        <v>1.678097309</v>
      </c>
      <c r="CI10">
        <v>1.10865054</v>
      </c>
      <c r="CJ10">
        <v>1.1530989169999999</v>
      </c>
      <c r="CK10">
        <v>7</v>
      </c>
      <c r="CL10">
        <f t="shared" si="3"/>
        <v>1.2751861169000003</v>
      </c>
      <c r="CM10">
        <f t="shared" si="1"/>
        <v>0.19041444010070713</v>
      </c>
      <c r="CN10">
        <f t="shared" si="2"/>
        <v>2.6928668366209933E-2</v>
      </c>
    </row>
    <row r="11" spans="1:97" x14ac:dyDescent="0.25">
      <c r="A11">
        <v>8</v>
      </c>
      <c r="D11">
        <v>1.4781989980000001</v>
      </c>
      <c r="F11">
        <v>1.3807722090000001</v>
      </c>
      <c r="G11">
        <v>1.3807722090000001</v>
      </c>
      <c r="I11">
        <v>1.2056753019999999</v>
      </c>
      <c r="K11">
        <v>1.1422222179999999</v>
      </c>
      <c r="L11">
        <v>1.086046708</v>
      </c>
      <c r="M11">
        <v>1.2234510590000001</v>
      </c>
      <c r="N11">
        <v>1.1601254539999999</v>
      </c>
      <c r="O11">
        <v>1.4177870429999999</v>
      </c>
      <c r="P11">
        <v>1.304446896</v>
      </c>
      <c r="Q11">
        <v>1.19816013</v>
      </c>
      <c r="R11">
        <v>1.020664249</v>
      </c>
      <c r="T11">
        <v>1.1039277919999999</v>
      </c>
      <c r="U11">
        <v>1.430349453</v>
      </c>
      <c r="V11">
        <v>1.490849995</v>
      </c>
      <c r="W11">
        <v>1.5512461179999999</v>
      </c>
      <c r="AD11">
        <v>1.3631125879999999</v>
      </c>
      <c r="AJ11">
        <v>1.303314614</v>
      </c>
      <c r="AM11">
        <v>0.91611174200000001</v>
      </c>
      <c r="AN11">
        <v>1.427538191</v>
      </c>
      <c r="AO11">
        <v>1.164494409</v>
      </c>
      <c r="AT11">
        <v>1.286586045</v>
      </c>
      <c r="AW11">
        <v>1.4961926000000001</v>
      </c>
      <c r="BA11">
        <v>0.86851727400000001</v>
      </c>
      <c r="BB11">
        <v>1.159924948</v>
      </c>
      <c r="BE11">
        <v>1.20632882</v>
      </c>
      <c r="BH11">
        <v>1.334061146</v>
      </c>
      <c r="BN11">
        <v>1.3446874129999999</v>
      </c>
      <c r="BO11">
        <v>1.3499555539999999</v>
      </c>
      <c r="BU11">
        <v>1.129969255</v>
      </c>
      <c r="BV11">
        <v>1.303314614</v>
      </c>
      <c r="BW11">
        <v>1.3310808919999999</v>
      </c>
      <c r="BY11">
        <v>1.498286113</v>
      </c>
      <c r="CA11">
        <v>1.1673707280000001</v>
      </c>
      <c r="CB11">
        <v>1.2005946009999999</v>
      </c>
      <c r="CC11">
        <v>1.164494409</v>
      </c>
      <c r="CD11">
        <v>1.474530554</v>
      </c>
      <c r="CE11">
        <v>1.496432352</v>
      </c>
      <c r="CJ11">
        <v>0.86848012799999996</v>
      </c>
      <c r="CK11">
        <v>8</v>
      </c>
      <c r="CL11">
        <f t="shared" si="3"/>
        <v>1.2674378159743591</v>
      </c>
      <c r="CM11">
        <f t="shared" si="1"/>
        <v>0.17628503849835178</v>
      </c>
      <c r="CN11">
        <f t="shared" si="2"/>
        <v>2.8228197758199781E-2</v>
      </c>
    </row>
    <row r="12" spans="1:97" x14ac:dyDescent="0.25">
      <c r="A12">
        <v>9</v>
      </c>
      <c r="D12">
        <v>1.466278483</v>
      </c>
      <c r="F12">
        <v>1.4099777529999999</v>
      </c>
      <c r="G12">
        <v>1.4099777529999999</v>
      </c>
      <c r="I12">
        <v>1.200423284</v>
      </c>
      <c r="K12">
        <v>1.134635496</v>
      </c>
      <c r="L12">
        <v>1.129054768</v>
      </c>
      <c r="M12">
        <v>1.2152779330000001</v>
      </c>
      <c r="N12">
        <v>1.1631476350000001</v>
      </c>
      <c r="O12">
        <v>1.3837057210000001</v>
      </c>
      <c r="P12">
        <v>1.3548958040000001</v>
      </c>
      <c r="Q12">
        <v>1.1600415959999999</v>
      </c>
      <c r="R12">
        <v>1.0387937730000001</v>
      </c>
      <c r="T12">
        <v>0.97112068900000004</v>
      </c>
      <c r="U12">
        <v>1.2979411700000001</v>
      </c>
      <c r="V12">
        <v>1.4934024969999999</v>
      </c>
      <c r="AM12">
        <v>0.90202895100000002</v>
      </c>
      <c r="AN12">
        <v>0.83940676199999997</v>
      </c>
      <c r="AO12">
        <v>0.51952363199999996</v>
      </c>
      <c r="AT12">
        <v>1.2718358839999999</v>
      </c>
      <c r="AW12">
        <v>1.4890681530000001</v>
      </c>
      <c r="BB12">
        <v>1.2541233519999999</v>
      </c>
      <c r="BE12">
        <v>1.253489431</v>
      </c>
      <c r="BH12">
        <v>1.3363555890000001</v>
      </c>
      <c r="BN12">
        <v>1.3590914140000001</v>
      </c>
      <c r="BO12">
        <v>1.2756115079999999</v>
      </c>
      <c r="BW12">
        <v>1.3112392660000001</v>
      </c>
      <c r="BY12">
        <v>1.4866055680000001</v>
      </c>
      <c r="CA12">
        <v>1.1912416850000001</v>
      </c>
      <c r="CB12">
        <v>1.1544416820000001</v>
      </c>
      <c r="CD12">
        <v>1.453787824</v>
      </c>
      <c r="CE12">
        <v>1.500291671</v>
      </c>
      <c r="CK12">
        <v>9</v>
      </c>
      <c r="CL12">
        <f t="shared" si="3"/>
        <v>1.2395747331290323</v>
      </c>
      <c r="CM12">
        <f t="shared" si="1"/>
        <v>0.21848463154503478</v>
      </c>
      <c r="CN12">
        <f t="shared" si="2"/>
        <v>3.9240998236854605E-2</v>
      </c>
    </row>
    <row r="13" spans="1:97" x14ac:dyDescent="0.25">
      <c r="A13">
        <v>10</v>
      </c>
      <c r="D13">
        <v>1.504744305</v>
      </c>
      <c r="F13">
        <v>1.3139150260000001</v>
      </c>
      <c r="G13">
        <v>1.3139150260000001</v>
      </c>
      <c r="I13">
        <v>1.183192204</v>
      </c>
      <c r="K13">
        <v>1.1237899410000001</v>
      </c>
      <c r="L13">
        <v>1.0696172749999999</v>
      </c>
      <c r="M13">
        <v>1.2056182280000001</v>
      </c>
      <c r="N13">
        <v>1.1314564170000001</v>
      </c>
      <c r="P13">
        <v>1.403850861</v>
      </c>
      <c r="R13">
        <v>1.076347704</v>
      </c>
      <c r="AM13">
        <v>0.92618187299999999</v>
      </c>
      <c r="AT13">
        <v>1.2387759819999999</v>
      </c>
      <c r="AW13">
        <v>1.486830705</v>
      </c>
      <c r="BB13">
        <v>1.264936091</v>
      </c>
      <c r="BE13">
        <v>1.273109416</v>
      </c>
      <c r="BH13">
        <v>1.340177808</v>
      </c>
      <c r="BN13">
        <v>1.351214227</v>
      </c>
      <c r="BY13">
        <v>1.435127791</v>
      </c>
      <c r="CA13">
        <v>1.2058000390000001</v>
      </c>
      <c r="CE13">
        <v>1.5072694520000001</v>
      </c>
      <c r="CK13">
        <v>10</v>
      </c>
      <c r="CL13">
        <f t="shared" si="3"/>
        <v>1.26779351855</v>
      </c>
      <c r="CM13">
        <f t="shared" si="1"/>
        <v>0.15763555405542254</v>
      </c>
      <c r="CN13">
        <f t="shared" si="2"/>
        <v>3.5248381453876744E-2</v>
      </c>
      <c r="CS13" t="s">
        <v>6</v>
      </c>
    </row>
    <row r="14" spans="1:97" x14ac:dyDescent="0.25">
      <c r="A14">
        <v>11</v>
      </c>
      <c r="D14">
        <v>1.5767130330000001</v>
      </c>
      <c r="I14">
        <v>1.1764610689999999</v>
      </c>
      <c r="K14">
        <v>1.133262019</v>
      </c>
      <c r="M14">
        <v>0.90510832100000005</v>
      </c>
      <c r="N14">
        <v>1.0776455730000001</v>
      </c>
      <c r="P14">
        <v>1.4225222719999999</v>
      </c>
      <c r="R14">
        <v>1.0779232679999999</v>
      </c>
      <c r="AW14">
        <v>1.4753936249999999</v>
      </c>
      <c r="BB14">
        <v>1.2685999830000001</v>
      </c>
      <c r="BE14">
        <v>1.269756763</v>
      </c>
      <c r="BH14">
        <v>1.341077809</v>
      </c>
      <c r="BN14">
        <v>1.3115924269999999</v>
      </c>
      <c r="BY14">
        <v>1.458083367</v>
      </c>
      <c r="CA14">
        <v>1.2199416919999999</v>
      </c>
      <c r="CE14">
        <v>1.3515944499999999</v>
      </c>
      <c r="CK14">
        <v>11</v>
      </c>
      <c r="CL14">
        <f t="shared" si="3"/>
        <v>1.2710450447333335</v>
      </c>
      <c r="CM14">
        <f t="shared" si="1"/>
        <v>0.17834865013068926</v>
      </c>
      <c r="CN14">
        <f t="shared" si="2"/>
        <v>4.6049423451648849E-2</v>
      </c>
    </row>
    <row r="15" spans="1:97" x14ac:dyDescent="0.25">
      <c r="A15">
        <v>12</v>
      </c>
      <c r="D15">
        <v>1.598243463</v>
      </c>
      <c r="I15">
        <v>1.236911724</v>
      </c>
      <c r="K15">
        <v>1.140719845</v>
      </c>
      <c r="N15">
        <v>1.0913191879999999</v>
      </c>
      <c r="P15">
        <v>1.3858080660000001</v>
      </c>
      <c r="R15">
        <v>1.1076167969999999</v>
      </c>
      <c r="AW15">
        <v>1.4333945109999999</v>
      </c>
      <c r="BB15">
        <v>1.238200011</v>
      </c>
      <c r="BE15">
        <v>1.2867307400000001</v>
      </c>
      <c r="BH15">
        <v>1.3402166980000001</v>
      </c>
      <c r="BY15">
        <v>1.4071055459999999</v>
      </c>
      <c r="CA15">
        <v>1.2489944420000001</v>
      </c>
      <c r="CK15">
        <v>12</v>
      </c>
      <c r="CL15">
        <f t="shared" si="3"/>
        <v>1.29293841925</v>
      </c>
      <c r="CM15">
        <f t="shared" si="1"/>
        <v>0.14866161330496241</v>
      </c>
      <c r="CN15">
        <f t="shared" si="2"/>
        <v>4.291491122989205E-2</v>
      </c>
    </row>
    <row r="16" spans="1:97" x14ac:dyDescent="0.25">
      <c r="A16">
        <v>13</v>
      </c>
      <c r="D16">
        <v>1.6240161209999999</v>
      </c>
      <c r="K16">
        <v>1.141840424</v>
      </c>
      <c r="P16">
        <v>1.3496717730000001</v>
      </c>
      <c r="R16">
        <v>0.91461888400000002</v>
      </c>
      <c r="AW16">
        <v>1.3655435</v>
      </c>
      <c r="BB16">
        <v>1.1047193049999999</v>
      </c>
      <c r="BE16">
        <v>1.286745759</v>
      </c>
      <c r="BH16">
        <v>1.339521722</v>
      </c>
      <c r="BY16">
        <v>1.416919424</v>
      </c>
      <c r="CA16">
        <v>1.2096805049999999</v>
      </c>
      <c r="CK16">
        <v>13</v>
      </c>
      <c r="CL16">
        <f t="shared" si="3"/>
        <v>1.2753277417</v>
      </c>
      <c r="CM16">
        <f t="shared" si="1"/>
        <v>0.19462085333806928</v>
      </c>
      <c r="CN16">
        <f t="shared" si="2"/>
        <v>6.1544517671388299E-2</v>
      </c>
    </row>
    <row r="17" spans="1:92" x14ac:dyDescent="0.25">
      <c r="A17">
        <v>14</v>
      </c>
      <c r="D17">
        <v>1.629958282</v>
      </c>
      <c r="K17">
        <v>1.1340745910000001</v>
      </c>
      <c r="P17">
        <v>1.368015008</v>
      </c>
      <c r="AW17">
        <v>1.3226014509999999</v>
      </c>
      <c r="BE17">
        <v>1.105564252</v>
      </c>
      <c r="BH17">
        <v>1.2713757130000001</v>
      </c>
      <c r="BY17">
        <v>1.3153065390000001</v>
      </c>
      <c r="CA17">
        <v>1.216558365</v>
      </c>
      <c r="CK17">
        <v>14</v>
      </c>
      <c r="CL17">
        <f t="shared" si="3"/>
        <v>1.295431775125</v>
      </c>
      <c r="CM17">
        <f t="shared" si="1"/>
        <v>0.16353026507954202</v>
      </c>
      <c r="CN17">
        <f t="shared" si="2"/>
        <v>5.7816679683488914E-2</v>
      </c>
    </row>
    <row r="18" spans="1:92" x14ac:dyDescent="0.25">
      <c r="A18">
        <v>15</v>
      </c>
      <c r="D18">
        <v>1.633468586</v>
      </c>
      <c r="K18">
        <v>1.1658523700000001</v>
      </c>
      <c r="P18">
        <v>1.4796273660000001</v>
      </c>
      <c r="AW18">
        <v>1.3369780339999999</v>
      </c>
      <c r="BH18">
        <v>1.6596570900000001</v>
      </c>
      <c r="CA18">
        <v>1.2242528020000001</v>
      </c>
      <c r="CK18">
        <v>15</v>
      </c>
      <c r="CL18">
        <f t="shared" si="3"/>
        <v>1.4166393746666666</v>
      </c>
      <c r="CM18">
        <f t="shared" si="1"/>
        <v>0.20798684965852779</v>
      </c>
      <c r="CN18">
        <f t="shared" si="2"/>
        <v>8.4910275812058469E-2</v>
      </c>
    </row>
    <row r="19" spans="1:92" x14ac:dyDescent="0.25">
      <c r="A19">
        <v>16</v>
      </c>
      <c r="D19">
        <v>1.6476591389999999</v>
      </c>
      <c r="K19">
        <v>1.16898773</v>
      </c>
      <c r="P19">
        <v>1.4915692780000001</v>
      </c>
      <c r="AW19">
        <v>1.4257142899999999</v>
      </c>
      <c r="BH19">
        <v>1.6706177870000001</v>
      </c>
      <c r="CA19">
        <v>1.257138095</v>
      </c>
      <c r="CK19">
        <v>16</v>
      </c>
      <c r="CL19">
        <f t="shared" si="3"/>
        <v>1.4436143865</v>
      </c>
      <c r="CM19">
        <f t="shared" si="1"/>
        <v>0.20296704051978445</v>
      </c>
      <c r="CN19">
        <f t="shared" si="2"/>
        <v>8.2860947312711625E-2</v>
      </c>
    </row>
    <row r="20" spans="1:92" x14ac:dyDescent="0.25">
      <c r="A20">
        <v>17</v>
      </c>
      <c r="D20">
        <v>1.386167302</v>
      </c>
      <c r="K20">
        <v>1.2017855129999999</v>
      </c>
      <c r="P20">
        <v>1.2007725810000001</v>
      </c>
      <c r="AW20">
        <v>1.456517313</v>
      </c>
      <c r="CA20">
        <v>1.1349555469999999</v>
      </c>
      <c r="CK20">
        <v>17</v>
      </c>
      <c r="CL20">
        <f t="shared" si="3"/>
        <v>1.2760396512000001</v>
      </c>
      <c r="CM20">
        <f t="shared" si="1"/>
        <v>0.13764430539778502</v>
      </c>
      <c r="CN20">
        <f t="shared" si="2"/>
        <v>6.1556404717037702E-2</v>
      </c>
    </row>
    <row r="21" spans="1:92" x14ac:dyDescent="0.25">
      <c r="A21">
        <v>18</v>
      </c>
      <c r="K21">
        <v>1.2589614220000001</v>
      </c>
      <c r="AW21">
        <v>1.442441401</v>
      </c>
      <c r="CA21">
        <v>1.0955422180000001</v>
      </c>
      <c r="CK21">
        <v>18</v>
      </c>
      <c r="CL21">
        <f t="shared" si="3"/>
        <v>1.265648347</v>
      </c>
      <c r="CM21">
        <f t="shared" si="1"/>
        <v>0.17354623884136502</v>
      </c>
      <c r="CN21">
        <f t="shared" si="2"/>
        <v>0.1001969677119092</v>
      </c>
    </row>
    <row r="22" spans="1:92" x14ac:dyDescent="0.25">
      <c r="A22">
        <v>19</v>
      </c>
      <c r="AW22">
        <v>1.434433869</v>
      </c>
      <c r="CK22">
        <v>19</v>
      </c>
      <c r="CL22">
        <f t="shared" si="3"/>
        <v>1.434433869</v>
      </c>
      <c r="CM22">
        <v>0</v>
      </c>
      <c r="CN22">
        <v>0</v>
      </c>
    </row>
    <row r="23" spans="1:92" x14ac:dyDescent="0.25">
      <c r="A23">
        <v>20</v>
      </c>
      <c r="CK23">
        <v>20</v>
      </c>
    </row>
    <row r="24" spans="1:92" x14ac:dyDescent="0.25">
      <c r="A24">
        <v>21</v>
      </c>
      <c r="CK24">
        <v>21</v>
      </c>
    </row>
    <row r="25" spans="1:92" x14ac:dyDescent="0.25">
      <c r="A25">
        <v>22</v>
      </c>
      <c r="CK25">
        <v>22</v>
      </c>
    </row>
    <row r="26" spans="1:92" x14ac:dyDescent="0.25">
      <c r="A26">
        <v>23</v>
      </c>
      <c r="CK26">
        <v>23</v>
      </c>
    </row>
    <row r="27" spans="1:92" x14ac:dyDescent="0.25">
      <c r="A27">
        <v>24</v>
      </c>
      <c r="CK27">
        <v>24</v>
      </c>
    </row>
    <row r="1048576" spans="91:91" x14ac:dyDescent="0.25">
      <c r="CM1048576" t="e">
        <f>STDEV(C1048576:CL1048576)</f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48576"/>
  <sheetViews>
    <sheetView topLeftCell="CK2" workbookViewId="0">
      <selection activeCell="CL3" sqref="CL3"/>
    </sheetView>
  </sheetViews>
  <sheetFormatPr defaultRowHeight="15" x14ac:dyDescent="0.25"/>
  <sheetData>
    <row r="1" spans="1:97" x14ac:dyDescent="0.25">
      <c r="B1" t="s">
        <v>1</v>
      </c>
    </row>
    <row r="2" spans="1:97" x14ac:dyDescent="0.25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f t="shared" ref="AL2:CJ2" si="0">AK2+1</f>
        <v>37</v>
      </c>
      <c r="AM2">
        <f t="shared" si="0"/>
        <v>38</v>
      </c>
      <c r="AN2">
        <f t="shared" si="0"/>
        <v>39</v>
      </c>
      <c r="AO2">
        <f t="shared" si="0"/>
        <v>40</v>
      </c>
      <c r="AP2">
        <f t="shared" si="0"/>
        <v>41</v>
      </c>
      <c r="AQ2">
        <f t="shared" si="0"/>
        <v>42</v>
      </c>
      <c r="AR2">
        <f t="shared" si="0"/>
        <v>43</v>
      </c>
      <c r="AS2">
        <f t="shared" si="0"/>
        <v>44</v>
      </c>
      <c r="AT2">
        <f t="shared" si="0"/>
        <v>45</v>
      </c>
      <c r="AU2">
        <f t="shared" si="0"/>
        <v>46</v>
      </c>
      <c r="AV2">
        <f t="shared" si="0"/>
        <v>47</v>
      </c>
      <c r="AW2">
        <f t="shared" si="0"/>
        <v>48</v>
      </c>
      <c r="AX2">
        <f t="shared" si="0"/>
        <v>49</v>
      </c>
      <c r="AY2">
        <f t="shared" si="0"/>
        <v>50</v>
      </c>
      <c r="AZ2">
        <f t="shared" si="0"/>
        <v>51</v>
      </c>
      <c r="BA2">
        <f t="shared" si="0"/>
        <v>52</v>
      </c>
      <c r="BB2">
        <f t="shared" si="0"/>
        <v>53</v>
      </c>
      <c r="BC2">
        <f t="shared" si="0"/>
        <v>54</v>
      </c>
      <c r="BD2">
        <f t="shared" si="0"/>
        <v>55</v>
      </c>
      <c r="BE2">
        <f t="shared" si="0"/>
        <v>56</v>
      </c>
      <c r="BF2">
        <f t="shared" si="0"/>
        <v>57</v>
      </c>
      <c r="BG2">
        <f t="shared" si="0"/>
        <v>58</v>
      </c>
      <c r="BH2">
        <f t="shared" si="0"/>
        <v>59</v>
      </c>
      <c r="BI2">
        <f t="shared" si="0"/>
        <v>60</v>
      </c>
      <c r="BJ2">
        <f t="shared" si="0"/>
        <v>61</v>
      </c>
      <c r="BK2">
        <f t="shared" si="0"/>
        <v>62</v>
      </c>
      <c r="BL2">
        <f t="shared" si="0"/>
        <v>63</v>
      </c>
      <c r="BM2">
        <f t="shared" si="0"/>
        <v>64</v>
      </c>
      <c r="BN2">
        <f t="shared" si="0"/>
        <v>65</v>
      </c>
      <c r="BO2">
        <f t="shared" si="0"/>
        <v>66</v>
      </c>
      <c r="BP2">
        <f t="shared" si="0"/>
        <v>67</v>
      </c>
      <c r="BQ2">
        <f t="shared" si="0"/>
        <v>68</v>
      </c>
      <c r="BR2">
        <f t="shared" si="0"/>
        <v>69</v>
      </c>
      <c r="BS2">
        <f t="shared" si="0"/>
        <v>70</v>
      </c>
      <c r="BT2">
        <f t="shared" si="0"/>
        <v>71</v>
      </c>
      <c r="BU2">
        <f t="shared" si="0"/>
        <v>72</v>
      </c>
      <c r="BV2">
        <f t="shared" si="0"/>
        <v>73</v>
      </c>
      <c r="BW2">
        <f t="shared" si="0"/>
        <v>74</v>
      </c>
      <c r="BX2">
        <f t="shared" si="0"/>
        <v>75</v>
      </c>
      <c r="BY2">
        <f t="shared" si="0"/>
        <v>76</v>
      </c>
      <c r="BZ2">
        <f t="shared" si="0"/>
        <v>77</v>
      </c>
      <c r="CA2">
        <f t="shared" si="0"/>
        <v>78</v>
      </c>
      <c r="CB2">
        <f t="shared" si="0"/>
        <v>79</v>
      </c>
      <c r="CC2">
        <f t="shared" si="0"/>
        <v>80</v>
      </c>
      <c r="CD2">
        <f t="shared" si="0"/>
        <v>81</v>
      </c>
      <c r="CE2">
        <f t="shared" si="0"/>
        <v>82</v>
      </c>
      <c r="CF2">
        <f t="shared" si="0"/>
        <v>83</v>
      </c>
      <c r="CG2">
        <f t="shared" si="0"/>
        <v>84</v>
      </c>
      <c r="CH2">
        <f t="shared" si="0"/>
        <v>85</v>
      </c>
      <c r="CI2">
        <f t="shared" si="0"/>
        <v>86</v>
      </c>
      <c r="CJ2">
        <f t="shared" si="0"/>
        <v>87</v>
      </c>
      <c r="CK2" t="s">
        <v>5</v>
      </c>
      <c r="CL2" t="s">
        <v>2</v>
      </c>
      <c r="CM2" t="s">
        <v>3</v>
      </c>
      <c r="CN2" t="s">
        <v>4</v>
      </c>
    </row>
    <row r="3" spans="1:97" x14ac:dyDescent="0.25">
      <c r="A3">
        <v>0</v>
      </c>
      <c r="B3">
        <v>0.227873226849857</v>
      </c>
      <c r="C3">
        <v>0.28586573500000001</v>
      </c>
      <c r="D3">
        <v>0.16563333399999999</v>
      </c>
      <c r="E3">
        <v>0.26894467799999999</v>
      </c>
      <c r="F3">
        <v>0.293591883</v>
      </c>
      <c r="G3">
        <v>0.293591883</v>
      </c>
      <c r="H3">
        <v>0.48239053399999998</v>
      </c>
      <c r="I3">
        <v>0.29648971699999999</v>
      </c>
      <c r="J3">
        <v>0.45821965599999998</v>
      </c>
      <c r="K3">
        <v>0.16510387400000001</v>
      </c>
      <c r="L3">
        <v>0.19222098700000001</v>
      </c>
      <c r="M3">
        <v>0.26949152599999998</v>
      </c>
      <c r="N3">
        <v>0.50544006900000005</v>
      </c>
      <c r="O3">
        <v>0.388755988</v>
      </c>
      <c r="P3">
        <v>0.168187378</v>
      </c>
      <c r="Q3">
        <v>0.46565647999999998</v>
      </c>
      <c r="R3">
        <v>0.209613567</v>
      </c>
      <c r="S3">
        <v>0.15625488000000001</v>
      </c>
      <c r="T3">
        <v>2.7226093999999999E-2</v>
      </c>
      <c r="U3">
        <v>0.33709641499999998</v>
      </c>
      <c r="V3">
        <v>0.480894445</v>
      </c>
      <c r="W3">
        <v>0.29590086399999999</v>
      </c>
      <c r="X3">
        <v>0.29288057899999997</v>
      </c>
      <c r="Y3">
        <v>0.13389538100000001</v>
      </c>
      <c r="Z3">
        <v>0.21921257699999999</v>
      </c>
      <c r="AA3" t="s">
        <v>7</v>
      </c>
      <c r="AB3">
        <v>0.45190317400000002</v>
      </c>
      <c r="AC3">
        <v>0.231610028</v>
      </c>
      <c r="AD3">
        <v>0.26843388299999998</v>
      </c>
      <c r="AE3">
        <v>0.33064480400000001</v>
      </c>
      <c r="AF3">
        <v>0.14334630300000001</v>
      </c>
      <c r="AG3">
        <v>0.35584607000000001</v>
      </c>
      <c r="AH3">
        <v>0.31377747099999997</v>
      </c>
      <c r="AI3">
        <v>0.32087547500000002</v>
      </c>
      <c r="AJ3">
        <v>0.352213573</v>
      </c>
      <c r="AK3">
        <v>0.27160267199999999</v>
      </c>
      <c r="AL3">
        <v>0.49899893299999998</v>
      </c>
      <c r="AM3">
        <v>0.10722222200000001</v>
      </c>
      <c r="AN3">
        <v>0.41241019099999998</v>
      </c>
      <c r="AO3">
        <v>9.9442880999999997E-2</v>
      </c>
      <c r="AP3">
        <v>0.21049999999999999</v>
      </c>
      <c r="AQ3">
        <v>0.19371666700000001</v>
      </c>
      <c r="AR3">
        <v>0.38984444400000001</v>
      </c>
      <c r="AS3">
        <v>0.28456388900000001</v>
      </c>
      <c r="AT3">
        <v>0.48595209499999997</v>
      </c>
      <c r="AU3">
        <v>0.41229166499999997</v>
      </c>
      <c r="AV3">
        <v>0.40779444300000001</v>
      </c>
      <c r="AW3">
        <v>0.52592916700000003</v>
      </c>
      <c r="AX3" t="s">
        <v>7</v>
      </c>
      <c r="AY3">
        <v>0.29684444500000001</v>
      </c>
      <c r="AZ3">
        <v>0.36590555499999999</v>
      </c>
      <c r="BA3">
        <v>0.14118888900000001</v>
      </c>
      <c r="BB3">
        <v>0.120528671</v>
      </c>
      <c r="BC3">
        <v>0.36264168499999999</v>
      </c>
      <c r="BD3">
        <v>0.34170053700000003</v>
      </c>
      <c r="BE3">
        <v>0.26258495799999998</v>
      </c>
      <c r="BF3">
        <v>0.198820256</v>
      </c>
      <c r="BG3">
        <v>3.3827711000000003E-2</v>
      </c>
      <c r="BH3">
        <v>0.14102427200000001</v>
      </c>
      <c r="BI3">
        <v>0.55000001200000004</v>
      </c>
      <c r="BJ3">
        <v>0.42148096400000001</v>
      </c>
      <c r="BK3">
        <v>0.30368055700000002</v>
      </c>
      <c r="BL3">
        <v>0.226688889</v>
      </c>
      <c r="BM3">
        <v>0.28456388900000001</v>
      </c>
      <c r="BN3">
        <v>0.18506388900000001</v>
      </c>
      <c r="BO3">
        <v>0.298986111</v>
      </c>
      <c r="BP3">
        <v>0.33078889</v>
      </c>
      <c r="BQ3">
        <v>0.143322222</v>
      </c>
      <c r="BR3">
        <v>0.31395277999999999</v>
      </c>
      <c r="BS3">
        <v>0.35584722400000002</v>
      </c>
      <c r="BT3">
        <v>0.32099275300000002</v>
      </c>
      <c r="BU3">
        <v>0.40378530899999998</v>
      </c>
      <c r="BV3">
        <v>0.35236666900000002</v>
      </c>
      <c r="BW3">
        <v>0.298322223</v>
      </c>
      <c r="BX3">
        <v>0.27161666699999998</v>
      </c>
      <c r="BY3">
        <v>0.47634110699999999</v>
      </c>
      <c r="BZ3">
        <v>0.49892400599999998</v>
      </c>
      <c r="CA3">
        <v>0.35155598799999999</v>
      </c>
      <c r="CB3">
        <v>0.22761812100000001</v>
      </c>
      <c r="CC3">
        <v>9.9320607000000005E-2</v>
      </c>
      <c r="CD3">
        <v>0.289230129</v>
      </c>
      <c r="CE3">
        <v>0.426158127</v>
      </c>
      <c r="CF3">
        <v>0.123860918</v>
      </c>
      <c r="CG3">
        <v>0.41234018700000002</v>
      </c>
      <c r="CH3">
        <v>0.296815783</v>
      </c>
      <c r="CI3">
        <v>0.36592551400000001</v>
      </c>
      <c r="CJ3">
        <v>0.14123714200000001</v>
      </c>
      <c r="CK3">
        <v>0</v>
      </c>
      <c r="CL3">
        <f>AVERAGE(B3:CJ3)</f>
        <v>0.29629653478646889</v>
      </c>
      <c r="CM3">
        <f t="shared" ref="CM3:CM21" si="1">STDEV(B3:CJ3)</f>
        <v>0.1210253414406213</v>
      </c>
      <c r="CN3">
        <f t="shared" ref="CN3:CN21" si="2">CM3/SQRT(COUNT(B3:CJ3))</f>
        <v>1.3127041363186581E-2</v>
      </c>
    </row>
    <row r="4" spans="1:97" x14ac:dyDescent="0.25">
      <c r="A4">
        <v>1</v>
      </c>
      <c r="B4">
        <v>0.32498189123483801</v>
      </c>
      <c r="C4">
        <v>0.32310413700000001</v>
      </c>
      <c r="D4">
        <v>0.26863611199999998</v>
      </c>
      <c r="E4">
        <v>0.16857222399999999</v>
      </c>
      <c r="F4">
        <v>0.30640611600000001</v>
      </c>
      <c r="G4">
        <v>0.30640611600000001</v>
      </c>
      <c r="H4">
        <v>0.2645207</v>
      </c>
      <c r="I4">
        <v>0.33178361699999998</v>
      </c>
      <c r="J4">
        <v>0.34791944400000002</v>
      </c>
      <c r="K4">
        <v>0.17636111099999999</v>
      </c>
      <c r="L4">
        <v>0.25120378100000001</v>
      </c>
      <c r="M4">
        <v>0.34892162199999999</v>
      </c>
      <c r="N4">
        <v>0.209594219</v>
      </c>
      <c r="O4">
        <v>0.36564502599999998</v>
      </c>
      <c r="P4">
        <v>0.238824021</v>
      </c>
      <c r="Q4">
        <v>0.23749372699999999</v>
      </c>
      <c r="R4">
        <v>0.23468871699999999</v>
      </c>
      <c r="S4">
        <v>0.21831848500000001</v>
      </c>
      <c r="T4">
        <v>2.7163323999999999E-2</v>
      </c>
      <c r="U4">
        <v>0.39776388699999998</v>
      </c>
      <c r="V4">
        <v>0.74874444600000001</v>
      </c>
      <c r="W4">
        <v>0.35270804500000003</v>
      </c>
      <c r="X4">
        <v>0.20770665099999999</v>
      </c>
      <c r="Y4">
        <v>0.11489705</v>
      </c>
      <c r="Z4">
        <v>0.25140061699999999</v>
      </c>
      <c r="AB4">
        <v>0.33506692700000001</v>
      </c>
      <c r="AC4">
        <v>0.25360793100000001</v>
      </c>
      <c r="AD4">
        <v>0.27218127199999997</v>
      </c>
      <c r="AE4">
        <v>0.42612777600000001</v>
      </c>
      <c r="AF4">
        <v>0.36999999900000002</v>
      </c>
      <c r="AG4">
        <v>0.398065053</v>
      </c>
      <c r="AH4">
        <v>0.26839822099999999</v>
      </c>
      <c r="AI4">
        <v>0.40999166500000001</v>
      </c>
      <c r="AJ4">
        <v>0.37397218300000001</v>
      </c>
      <c r="AK4">
        <v>0.26494019600000002</v>
      </c>
      <c r="AL4">
        <v>0.35800612700000001</v>
      </c>
      <c r="AM4">
        <v>0.122991667</v>
      </c>
      <c r="AN4">
        <v>0.133444537</v>
      </c>
      <c r="AO4">
        <v>0.10645505600000001</v>
      </c>
      <c r="AP4">
        <v>0.26949722300000001</v>
      </c>
      <c r="AQ4">
        <v>0.25532222199999999</v>
      </c>
      <c r="AR4">
        <v>0.42701724899999999</v>
      </c>
      <c r="AS4">
        <v>0.326194445</v>
      </c>
      <c r="AT4">
        <v>0.33446388799999999</v>
      </c>
      <c r="AU4">
        <v>0.50256944199999998</v>
      </c>
      <c r="AV4">
        <v>0.47705113799999999</v>
      </c>
      <c r="AW4">
        <v>0.423694442</v>
      </c>
      <c r="AY4">
        <v>0.27285833399999998</v>
      </c>
      <c r="AZ4">
        <v>0.36023074700000002</v>
      </c>
      <c r="BA4">
        <v>0.12958877499999999</v>
      </c>
      <c r="BB4">
        <v>8.1596691999999998E-2</v>
      </c>
      <c r="BC4">
        <v>0.35806197099999998</v>
      </c>
      <c r="BD4">
        <v>0.32749848500000001</v>
      </c>
      <c r="BE4">
        <v>0.23010022199999999</v>
      </c>
      <c r="BF4">
        <v>0.24946885399999999</v>
      </c>
      <c r="BG4">
        <v>2.6425590999999998E-2</v>
      </c>
      <c r="BH4">
        <v>5.4205555000000002E-2</v>
      </c>
      <c r="BI4">
        <v>0.53360139600000001</v>
      </c>
      <c r="BJ4">
        <v>0.44543484100000003</v>
      </c>
      <c r="BK4">
        <v>0.32571389000000001</v>
      </c>
      <c r="BL4">
        <v>0.28954999999999997</v>
      </c>
      <c r="BM4">
        <v>0.326194445</v>
      </c>
      <c r="BN4">
        <v>0.17221172600000001</v>
      </c>
      <c r="BO4">
        <v>0.34983333300000002</v>
      </c>
      <c r="BP4">
        <v>0.42612777600000001</v>
      </c>
      <c r="BQ4">
        <v>0.37333333299999999</v>
      </c>
      <c r="BR4">
        <v>0.26838611099999998</v>
      </c>
      <c r="BS4">
        <v>0.39810277599999999</v>
      </c>
      <c r="BT4">
        <v>0.40999166500000001</v>
      </c>
      <c r="BU4">
        <v>8.7186110999999997E-2</v>
      </c>
      <c r="BV4">
        <v>0.37382499899999999</v>
      </c>
      <c r="BW4">
        <v>0.26398055599999998</v>
      </c>
      <c r="BX4">
        <v>0.26504306900000002</v>
      </c>
      <c r="BY4">
        <v>0.34289722500000003</v>
      </c>
      <c r="BZ4">
        <v>0.35813611200000001</v>
      </c>
      <c r="CA4">
        <v>0.16411666699999999</v>
      </c>
      <c r="CB4">
        <v>0.24970530899999999</v>
      </c>
      <c r="CC4">
        <v>0.106636996</v>
      </c>
      <c r="CD4">
        <v>0.31666666700000001</v>
      </c>
      <c r="CE4">
        <v>0.440988887</v>
      </c>
      <c r="CF4">
        <v>0.19152264599999999</v>
      </c>
      <c r="CG4">
        <v>0.50256944199999998</v>
      </c>
      <c r="CH4">
        <v>0.27285833399999998</v>
      </c>
      <c r="CI4">
        <v>0.36028888799999997</v>
      </c>
      <c r="CJ4">
        <v>0.129586111</v>
      </c>
      <c r="CK4">
        <v>1</v>
      </c>
      <c r="CL4">
        <f>AVERAGE(B4:CJ4)</f>
        <v>0.2937335092027627</v>
      </c>
      <c r="CM4">
        <f t="shared" si="1"/>
        <v>0.12243540059881598</v>
      </c>
      <c r="CN4">
        <f t="shared" si="2"/>
        <v>1.327998375255586E-2</v>
      </c>
    </row>
    <row r="5" spans="1:97" x14ac:dyDescent="0.25">
      <c r="A5">
        <v>2</v>
      </c>
      <c r="B5">
        <v>0.38172279289699901</v>
      </c>
      <c r="C5">
        <v>0.33208791199999999</v>
      </c>
      <c r="D5">
        <v>0.34014386400000002</v>
      </c>
      <c r="E5">
        <v>0.176671298</v>
      </c>
      <c r="F5">
        <v>0.32991335900000002</v>
      </c>
      <c r="G5">
        <v>0.32991335900000002</v>
      </c>
      <c r="H5">
        <v>0.25819394299999998</v>
      </c>
      <c r="I5">
        <v>0.31258918600000002</v>
      </c>
      <c r="J5">
        <v>0.37055833199999999</v>
      </c>
      <c r="K5">
        <v>0.228272222</v>
      </c>
      <c r="L5">
        <v>0.23633685400000001</v>
      </c>
      <c r="M5">
        <v>0.34737704800000002</v>
      </c>
      <c r="N5">
        <v>0.18958286699999999</v>
      </c>
      <c r="O5">
        <v>0.34045659499999997</v>
      </c>
      <c r="P5">
        <v>0.31759444399999998</v>
      </c>
      <c r="Q5">
        <v>0.22655</v>
      </c>
      <c r="R5">
        <v>0.22885</v>
      </c>
      <c r="S5">
        <v>0.24260434</v>
      </c>
      <c r="T5">
        <v>2.4898526000000001E-2</v>
      </c>
      <c r="U5">
        <v>0.39264942800000002</v>
      </c>
      <c r="V5">
        <v>0.73981944300000002</v>
      </c>
      <c r="W5">
        <v>0.34288140299999997</v>
      </c>
      <c r="X5">
        <v>0.23503621</v>
      </c>
      <c r="Y5">
        <v>0.15266258999999999</v>
      </c>
      <c r="Z5">
        <v>0.30350630899999997</v>
      </c>
      <c r="AB5">
        <v>0.343673073</v>
      </c>
      <c r="AC5">
        <v>0.25440872599999997</v>
      </c>
      <c r="AD5">
        <v>0.24449948499999999</v>
      </c>
      <c r="AE5">
        <v>0.41258476700000002</v>
      </c>
      <c r="AF5">
        <v>0.15298357900000001</v>
      </c>
      <c r="AG5">
        <v>0.38793470699999999</v>
      </c>
      <c r="AH5">
        <v>0.25146429599999998</v>
      </c>
      <c r="AI5">
        <v>0.42345833100000002</v>
      </c>
      <c r="AJ5">
        <v>0.36913298100000003</v>
      </c>
      <c r="AK5">
        <v>0.23072024399999999</v>
      </c>
      <c r="AL5">
        <v>0.37528233500000002</v>
      </c>
      <c r="AM5">
        <v>9.9947222000000002E-2</v>
      </c>
      <c r="AN5">
        <v>0.17900833399999999</v>
      </c>
      <c r="AO5">
        <v>4.2598639000000001E-2</v>
      </c>
      <c r="AP5">
        <v>0.30207777800000002</v>
      </c>
      <c r="AQ5">
        <v>0.25610277799999998</v>
      </c>
      <c r="AR5">
        <v>0.33622426100000002</v>
      </c>
      <c r="AS5">
        <v>0.335622223</v>
      </c>
      <c r="AT5">
        <v>0.28380383399999998</v>
      </c>
      <c r="AU5">
        <v>0.51694745399999997</v>
      </c>
      <c r="AV5">
        <v>0.468439932</v>
      </c>
      <c r="AW5">
        <v>0.42547222000000001</v>
      </c>
      <c r="AY5">
        <v>0.23342499899999999</v>
      </c>
      <c r="AZ5">
        <v>0.36179772399999999</v>
      </c>
      <c r="BA5">
        <v>0.11996944399999999</v>
      </c>
      <c r="BB5">
        <v>6.7041187000000002E-2</v>
      </c>
      <c r="BC5">
        <v>0.37087087200000002</v>
      </c>
      <c r="BD5">
        <v>0.286494629</v>
      </c>
      <c r="BE5">
        <v>0.191694584</v>
      </c>
      <c r="BF5">
        <v>0.20542292700000001</v>
      </c>
      <c r="BG5">
        <v>2.0197660999999999E-2</v>
      </c>
      <c r="BH5">
        <v>5.1299999999999998E-2</v>
      </c>
      <c r="BI5">
        <v>0.51912187099999996</v>
      </c>
      <c r="BJ5">
        <v>3.7736506000000003E-2</v>
      </c>
      <c r="BK5">
        <v>0.115293586</v>
      </c>
      <c r="BL5">
        <v>0.30143055499999999</v>
      </c>
      <c r="BM5">
        <v>0.335622223</v>
      </c>
      <c r="BN5">
        <v>0.19721666600000001</v>
      </c>
      <c r="BO5">
        <v>0.37804444399999998</v>
      </c>
      <c r="BP5">
        <v>0.412627776</v>
      </c>
      <c r="BQ5">
        <v>0.15296749100000001</v>
      </c>
      <c r="BR5">
        <v>0.25148055600000002</v>
      </c>
      <c r="BS5">
        <v>0.38818787100000002</v>
      </c>
      <c r="BT5">
        <v>0.42345833100000002</v>
      </c>
      <c r="BU5">
        <v>0.13170277799999999</v>
      </c>
      <c r="BV5">
        <v>0.36907422899999998</v>
      </c>
      <c r="BW5">
        <v>0.26330000100000001</v>
      </c>
      <c r="BX5">
        <v>0.230797222</v>
      </c>
      <c r="BY5">
        <v>0.35002778699999998</v>
      </c>
      <c r="BZ5">
        <v>0.37531666499999999</v>
      </c>
      <c r="CA5">
        <v>0.150517241</v>
      </c>
      <c r="CB5">
        <v>0.261523069</v>
      </c>
      <c r="CC5">
        <v>4.2576478000000001E-2</v>
      </c>
      <c r="CD5">
        <v>0.34495830999999999</v>
      </c>
      <c r="CE5">
        <v>0.40563610999999999</v>
      </c>
      <c r="CF5">
        <v>0.289283334</v>
      </c>
      <c r="CG5">
        <v>0.51697499800000002</v>
      </c>
      <c r="CH5">
        <v>0.23342499899999999</v>
      </c>
      <c r="CI5">
        <v>0.36180328099999998</v>
      </c>
      <c r="CJ5">
        <v>0.11996944399999999</v>
      </c>
      <c r="CK5">
        <v>2</v>
      </c>
      <c r="CL5">
        <f t="shared" ref="CL5:CL22" si="3">AVERAGE(B5:CJ5)</f>
        <v>0.28166526321055291</v>
      </c>
      <c r="CM5">
        <f t="shared" si="1"/>
        <v>0.1280000005351514</v>
      </c>
      <c r="CN5">
        <f t="shared" si="2"/>
        <v>1.3883549358439315E-2</v>
      </c>
    </row>
    <row r="6" spans="1:97" x14ac:dyDescent="0.25">
      <c r="A6">
        <v>3</v>
      </c>
      <c r="B6">
        <v>0.29859728368313798</v>
      </c>
      <c r="C6">
        <v>0.30482758599999998</v>
      </c>
      <c r="D6">
        <v>0.36059199400000003</v>
      </c>
      <c r="E6">
        <v>0.27048177800000001</v>
      </c>
      <c r="F6">
        <v>0.35185277799999998</v>
      </c>
      <c r="G6">
        <v>0.35185277799999998</v>
      </c>
      <c r="H6">
        <v>0.242608452</v>
      </c>
      <c r="I6">
        <v>0.29277004499999998</v>
      </c>
      <c r="J6">
        <v>0.37891666499999999</v>
      </c>
      <c r="K6">
        <v>0.20629777499999999</v>
      </c>
      <c r="L6">
        <v>0.21686127299999999</v>
      </c>
      <c r="M6">
        <v>0.34702972900000001</v>
      </c>
      <c r="N6">
        <v>0.192550001</v>
      </c>
      <c r="O6">
        <v>0.334968029</v>
      </c>
      <c r="P6">
        <v>0.33640541299999999</v>
      </c>
      <c r="Q6">
        <v>0.191527313</v>
      </c>
      <c r="R6">
        <v>0.217788595</v>
      </c>
      <c r="S6">
        <v>0.25232102099999998</v>
      </c>
      <c r="T6">
        <v>3.4983332999999998E-2</v>
      </c>
      <c r="U6">
        <v>0.39525555400000001</v>
      </c>
      <c r="V6">
        <v>0.75118888800000005</v>
      </c>
      <c r="W6">
        <v>0.37063438900000001</v>
      </c>
      <c r="X6">
        <v>0.22331477799999999</v>
      </c>
      <c r="Y6">
        <v>0.191597666</v>
      </c>
      <c r="Z6">
        <v>0.27827048199999999</v>
      </c>
      <c r="AB6">
        <v>0.35432153799999999</v>
      </c>
      <c r="AC6">
        <v>0.25017340999999998</v>
      </c>
      <c r="AD6">
        <v>0.22435131899999999</v>
      </c>
      <c r="AE6">
        <v>0.390842835</v>
      </c>
      <c r="AF6">
        <v>0.16299749499999999</v>
      </c>
      <c r="AH6">
        <v>0.23961624000000001</v>
      </c>
      <c r="AI6">
        <v>0.42829166499999999</v>
      </c>
      <c r="AJ6">
        <v>0.347337232</v>
      </c>
      <c r="AK6">
        <v>0.20983875299999999</v>
      </c>
      <c r="AL6">
        <v>0.36896100199999998</v>
      </c>
      <c r="AM6">
        <v>8.8563889000000007E-2</v>
      </c>
      <c r="AN6">
        <v>0.24182222</v>
      </c>
      <c r="AO6">
        <v>5.7613603999999999E-2</v>
      </c>
      <c r="AP6">
        <v>0.223988889</v>
      </c>
      <c r="AQ6">
        <v>0.254426229</v>
      </c>
      <c r="AR6">
        <v>4.6335174999999999E-2</v>
      </c>
      <c r="AS6">
        <v>0.31879166799999997</v>
      </c>
      <c r="AT6">
        <v>0.33534890099999998</v>
      </c>
      <c r="AU6">
        <v>0.49931091599999999</v>
      </c>
      <c r="AV6">
        <v>0.41412843900000001</v>
      </c>
      <c r="AW6">
        <v>0.42300805899999999</v>
      </c>
      <c r="AY6">
        <v>0.19224722299999999</v>
      </c>
      <c r="AZ6">
        <v>0.37206397699999999</v>
      </c>
      <c r="BA6">
        <v>0.13525277799999999</v>
      </c>
      <c r="BB6">
        <v>5.9686652E-2</v>
      </c>
      <c r="BC6">
        <v>0.37531388900000001</v>
      </c>
      <c r="BD6">
        <v>0.30376320200000001</v>
      </c>
      <c r="BE6">
        <v>0.13240839200000001</v>
      </c>
      <c r="BF6">
        <v>0.199491527</v>
      </c>
      <c r="BG6">
        <v>2.3824100000000002E-3</v>
      </c>
      <c r="BH6">
        <v>5.0377776999999999E-2</v>
      </c>
      <c r="BI6">
        <v>0.50834444099999998</v>
      </c>
      <c r="BL6">
        <v>0.35386666700000002</v>
      </c>
      <c r="BM6">
        <v>0.31879166799999997</v>
      </c>
      <c r="BN6">
        <v>0.19142261799999999</v>
      </c>
      <c r="BO6">
        <v>0.39229444299999999</v>
      </c>
      <c r="BP6">
        <v>0.390813886</v>
      </c>
      <c r="BQ6">
        <v>0.162972222</v>
      </c>
      <c r="BR6">
        <v>0.23951388900000001</v>
      </c>
      <c r="BT6">
        <v>0.42829166499999999</v>
      </c>
      <c r="BU6">
        <v>9.4825001000000006E-2</v>
      </c>
      <c r="BV6">
        <v>0.34731666999999999</v>
      </c>
      <c r="BW6">
        <v>0.29943873399999998</v>
      </c>
      <c r="BX6">
        <v>0.209727776</v>
      </c>
      <c r="BY6">
        <v>0.35847094800000001</v>
      </c>
      <c r="BZ6">
        <v>0.369002777</v>
      </c>
      <c r="CA6">
        <v>0.150855556</v>
      </c>
      <c r="CB6">
        <v>0.25781206600000001</v>
      </c>
      <c r="CC6">
        <v>5.7640354999999997E-2</v>
      </c>
      <c r="CD6">
        <v>0.33910530799999999</v>
      </c>
      <c r="CE6">
        <v>0.40816944300000002</v>
      </c>
      <c r="CF6">
        <v>0.36104722299999997</v>
      </c>
      <c r="CG6">
        <v>0.49931091599999999</v>
      </c>
      <c r="CH6">
        <v>0.19224506799999999</v>
      </c>
      <c r="CI6">
        <v>0.37213670399999998</v>
      </c>
      <c r="CJ6">
        <v>0.13522923100000001</v>
      </c>
      <c r="CK6">
        <v>3</v>
      </c>
      <c r="CL6">
        <f t="shared" si="3"/>
        <v>0.27821229850226092</v>
      </c>
      <c r="CM6">
        <f t="shared" si="1"/>
        <v>0.12827765904027602</v>
      </c>
      <c r="CN6">
        <f t="shared" si="2"/>
        <v>1.4253073226697336E-2</v>
      </c>
    </row>
    <row r="7" spans="1:97" x14ac:dyDescent="0.25">
      <c r="A7">
        <v>4</v>
      </c>
      <c r="D7">
        <v>0.33741039099999998</v>
      </c>
      <c r="F7">
        <v>0.35257778000000001</v>
      </c>
      <c r="G7">
        <v>0.35257778000000001</v>
      </c>
      <c r="H7">
        <v>0.26355969899999998</v>
      </c>
      <c r="I7">
        <v>0.24384187099999999</v>
      </c>
      <c r="J7">
        <v>0.36598333199999999</v>
      </c>
      <c r="K7">
        <v>0.19720407400000001</v>
      </c>
      <c r="L7">
        <v>0.199288296</v>
      </c>
      <c r="M7">
        <v>0.32669910899999999</v>
      </c>
      <c r="N7">
        <v>0.210780202</v>
      </c>
      <c r="O7">
        <v>0.38460485799999999</v>
      </c>
      <c r="P7">
        <v>0.34681090199999998</v>
      </c>
      <c r="Q7">
        <v>0.15890196100000001</v>
      </c>
      <c r="R7">
        <v>0.231179088</v>
      </c>
      <c r="S7">
        <v>0.26195555500000001</v>
      </c>
      <c r="T7">
        <v>2.1233333E-2</v>
      </c>
      <c r="U7">
        <v>0.42141189400000001</v>
      </c>
      <c r="V7">
        <v>0.74666944199999996</v>
      </c>
      <c r="W7">
        <v>0.39573217900000002</v>
      </c>
      <c r="X7">
        <v>0.20853006700000001</v>
      </c>
      <c r="Y7">
        <v>0.19100055599999999</v>
      </c>
      <c r="AB7">
        <v>0.38142458699999998</v>
      </c>
      <c r="AC7">
        <v>0.24623188400000001</v>
      </c>
      <c r="AD7">
        <v>0.21598986100000001</v>
      </c>
      <c r="AE7">
        <v>0.36721990599999998</v>
      </c>
      <c r="AF7">
        <v>0.18204785800000001</v>
      </c>
      <c r="AH7">
        <v>0.230886851</v>
      </c>
      <c r="AI7">
        <v>0.42509166399999998</v>
      </c>
      <c r="AJ7">
        <v>0.32871909199999999</v>
      </c>
      <c r="AK7">
        <v>0.195709516</v>
      </c>
      <c r="AL7">
        <v>0.37025048700000002</v>
      </c>
      <c r="AM7">
        <v>6.9383333000000005E-2</v>
      </c>
      <c r="AN7">
        <v>0.24917777699999999</v>
      </c>
      <c r="AO7">
        <v>5.9514207E-2</v>
      </c>
      <c r="AP7">
        <v>0.243855514</v>
      </c>
      <c r="AQ7">
        <v>0.26343428699999999</v>
      </c>
      <c r="AS7">
        <v>0.28582222299999999</v>
      </c>
      <c r="AT7">
        <v>0.33521557600000002</v>
      </c>
      <c r="AU7">
        <v>0.44858888600000002</v>
      </c>
      <c r="AV7">
        <v>0.57243882199999996</v>
      </c>
      <c r="AW7">
        <v>0.41269112800000002</v>
      </c>
      <c r="AY7">
        <v>0.160541668</v>
      </c>
      <c r="AZ7">
        <v>0.37368669799999998</v>
      </c>
      <c r="BA7">
        <v>0.153191667</v>
      </c>
      <c r="BB7">
        <v>3.9365935999999997E-2</v>
      </c>
      <c r="BC7">
        <v>0.39509166400000001</v>
      </c>
      <c r="BD7">
        <v>0.194670231</v>
      </c>
      <c r="BE7">
        <v>0.13159226600000001</v>
      </c>
      <c r="BF7">
        <v>0.26013069999999999</v>
      </c>
      <c r="BG7">
        <v>5.5107910000000001E-3</v>
      </c>
      <c r="BH7">
        <v>4.7066666E-2</v>
      </c>
      <c r="BI7">
        <v>0.50985555299999996</v>
      </c>
      <c r="BL7">
        <v>0.38013888699999998</v>
      </c>
      <c r="BM7">
        <v>0.28582222299999999</v>
      </c>
      <c r="BN7">
        <v>0.19520000000000001</v>
      </c>
      <c r="BO7">
        <v>0.41215555399999998</v>
      </c>
      <c r="BP7">
        <v>0.36724166699999999</v>
      </c>
      <c r="BQ7">
        <v>0.18186440700000001</v>
      </c>
      <c r="BR7">
        <v>0.230886112</v>
      </c>
      <c r="BT7">
        <v>0.425088886</v>
      </c>
      <c r="BU7">
        <v>7.8308332999999994E-2</v>
      </c>
      <c r="BV7">
        <v>0.32871666999999999</v>
      </c>
      <c r="BW7">
        <v>0.31603223400000002</v>
      </c>
      <c r="BX7">
        <v>0.19571666700000001</v>
      </c>
      <c r="BY7">
        <v>0.36382222199999997</v>
      </c>
      <c r="BZ7">
        <v>0.37032222199999998</v>
      </c>
      <c r="CA7">
        <v>0.16485134800000001</v>
      </c>
      <c r="CB7">
        <v>0.24016115499999999</v>
      </c>
      <c r="CC7">
        <v>5.9361111000000001E-2</v>
      </c>
      <c r="CD7">
        <v>0.306975002</v>
      </c>
      <c r="CE7">
        <v>0.44007222099999999</v>
      </c>
      <c r="CF7">
        <v>0.37136982499999999</v>
      </c>
      <c r="CG7">
        <v>0.44859405099999999</v>
      </c>
      <c r="CH7">
        <v>0.160541668</v>
      </c>
      <c r="CI7">
        <v>0.37375381899999999</v>
      </c>
      <c r="CJ7">
        <v>0.153191667</v>
      </c>
      <c r="CK7">
        <v>4</v>
      </c>
      <c r="CL7">
        <f t="shared" si="3"/>
        <v>0.27924391603947368</v>
      </c>
      <c r="CM7">
        <f t="shared" si="1"/>
        <v>0.13372903583156795</v>
      </c>
      <c r="CN7">
        <f t="shared" si="2"/>
        <v>1.5339772447550904E-2</v>
      </c>
    </row>
    <row r="8" spans="1:97" x14ac:dyDescent="0.25">
      <c r="A8">
        <v>5</v>
      </c>
      <c r="D8">
        <v>0.32718532900000002</v>
      </c>
      <c r="F8">
        <v>0.33507641100000002</v>
      </c>
      <c r="G8">
        <v>0.33507641100000002</v>
      </c>
      <c r="H8">
        <v>0.28743739699999998</v>
      </c>
      <c r="I8">
        <v>0.23180400900000001</v>
      </c>
      <c r="J8">
        <v>0.24990542199999999</v>
      </c>
      <c r="K8">
        <v>0.231624255</v>
      </c>
      <c r="L8">
        <v>0.19092021100000001</v>
      </c>
      <c r="M8">
        <v>0.32624617900000003</v>
      </c>
      <c r="N8">
        <v>0.21350794100000001</v>
      </c>
      <c r="O8">
        <v>0.35108423700000002</v>
      </c>
      <c r="P8">
        <v>0.33555555599999998</v>
      </c>
      <c r="Q8">
        <v>0.10773233</v>
      </c>
      <c r="R8">
        <v>0.207267167</v>
      </c>
      <c r="S8">
        <v>0.26209444399999998</v>
      </c>
      <c r="T8">
        <v>2.6808333E-2</v>
      </c>
      <c r="U8">
        <v>0.46295359699999999</v>
      </c>
      <c r="V8">
        <v>0.75783888600000004</v>
      </c>
      <c r="W8">
        <v>0.37958472399999998</v>
      </c>
      <c r="Y8">
        <v>0.174518432</v>
      </c>
      <c r="AB8">
        <v>0.38150436999999998</v>
      </c>
      <c r="AD8">
        <v>0.23263503299999999</v>
      </c>
      <c r="AE8">
        <v>0.38789317499999998</v>
      </c>
      <c r="AF8">
        <v>0.186442094</v>
      </c>
      <c r="AH8">
        <v>0.27205000000000001</v>
      </c>
      <c r="AI8">
        <v>0.42122221900000001</v>
      </c>
      <c r="AJ8">
        <v>0.31489024900000001</v>
      </c>
      <c r="AK8">
        <v>0.16656712400000001</v>
      </c>
      <c r="AL8">
        <v>0.36504174</v>
      </c>
      <c r="AM8">
        <v>2.5747222E-2</v>
      </c>
      <c r="AN8">
        <v>0.25173888799999999</v>
      </c>
      <c r="AO8">
        <v>5.8076366999999997E-2</v>
      </c>
      <c r="AS8">
        <v>0.32521388800000001</v>
      </c>
      <c r="AT8">
        <v>0.33207222199999997</v>
      </c>
      <c r="AU8">
        <v>0.43916596899999999</v>
      </c>
      <c r="AV8">
        <v>0.61671949000000004</v>
      </c>
      <c r="AW8">
        <v>0.40771602899999998</v>
      </c>
      <c r="AY8">
        <v>0.11336111</v>
      </c>
      <c r="AZ8">
        <v>0.35136414500000002</v>
      </c>
      <c r="BA8">
        <v>0.10721388900000001</v>
      </c>
      <c r="BB8">
        <v>2.6561141999999999E-2</v>
      </c>
      <c r="BC8">
        <v>3.7985675000000003E-2</v>
      </c>
      <c r="BE8">
        <v>0.16725021100000001</v>
      </c>
      <c r="BF8">
        <v>0.21889630099999999</v>
      </c>
      <c r="BH8">
        <v>4.4288887999999998E-2</v>
      </c>
      <c r="BI8">
        <v>0.50393332999999996</v>
      </c>
      <c r="BL8">
        <v>0.29898610799999997</v>
      </c>
      <c r="BM8">
        <v>0.32521388800000001</v>
      </c>
      <c r="BN8">
        <v>0.18848231700000001</v>
      </c>
      <c r="BO8">
        <v>0.41295833199999998</v>
      </c>
      <c r="BP8">
        <v>0.38787339300000001</v>
      </c>
      <c r="BQ8">
        <v>0.18640000000000001</v>
      </c>
      <c r="BR8">
        <v>0.27208611100000002</v>
      </c>
      <c r="BT8">
        <v>0.42122221900000001</v>
      </c>
      <c r="BU8">
        <v>5.6958333E-2</v>
      </c>
      <c r="BV8">
        <v>0.31487778</v>
      </c>
      <c r="BW8">
        <v>0.27781944600000003</v>
      </c>
      <c r="BX8">
        <v>0.166591668</v>
      </c>
      <c r="BY8">
        <v>0.37344722000000002</v>
      </c>
      <c r="BZ8">
        <v>0.36505555899999997</v>
      </c>
      <c r="CA8">
        <v>0.160180555</v>
      </c>
      <c r="CB8">
        <v>0.249958298</v>
      </c>
      <c r="CC8">
        <v>5.7872222000000001E-2</v>
      </c>
      <c r="CD8">
        <v>0.31640833499999999</v>
      </c>
      <c r="CE8">
        <v>0.50226451800000005</v>
      </c>
      <c r="CF8">
        <v>0.34982301199999999</v>
      </c>
      <c r="CG8">
        <v>0.43916666399999998</v>
      </c>
      <c r="CH8">
        <v>0.11336111</v>
      </c>
      <c r="CI8">
        <v>0.35136895000000001</v>
      </c>
      <c r="CJ8">
        <v>0.10721388900000001</v>
      </c>
      <c r="CK8">
        <v>5</v>
      </c>
      <c r="CL8">
        <f t="shared" si="3"/>
        <v>0.27493374240000013</v>
      </c>
      <c r="CM8">
        <f t="shared" si="1"/>
        <v>0.14397639683657654</v>
      </c>
      <c r="CN8">
        <f t="shared" si="2"/>
        <v>1.7208470856795815E-2</v>
      </c>
    </row>
    <row r="9" spans="1:97" x14ac:dyDescent="0.25">
      <c r="A9">
        <v>6</v>
      </c>
      <c r="D9">
        <v>0.34432823299999998</v>
      </c>
      <c r="F9">
        <v>0.25972484600000001</v>
      </c>
      <c r="G9">
        <v>0.25972484600000001</v>
      </c>
      <c r="H9">
        <v>0.22629793500000001</v>
      </c>
      <c r="I9">
        <v>0.23424394400000001</v>
      </c>
      <c r="K9">
        <v>0.24983888800000001</v>
      </c>
      <c r="L9">
        <v>0.18647452</v>
      </c>
      <c r="M9">
        <v>0.31439933199999998</v>
      </c>
      <c r="N9">
        <v>0.218357461</v>
      </c>
      <c r="O9">
        <v>0.35948333399999999</v>
      </c>
      <c r="P9">
        <v>0.304700001</v>
      </c>
      <c r="Q9">
        <v>7.8991385999999997E-2</v>
      </c>
      <c r="R9">
        <v>0.123261958</v>
      </c>
      <c r="S9">
        <v>0.23797222200000001</v>
      </c>
      <c r="T9">
        <v>2.6080554999999998E-2</v>
      </c>
      <c r="U9">
        <v>0.39963580599999998</v>
      </c>
      <c r="V9">
        <v>0.76182777599999996</v>
      </c>
      <c r="W9">
        <v>0.38721169599999999</v>
      </c>
      <c r="AD9">
        <v>0.24760354000000001</v>
      </c>
      <c r="AF9">
        <v>0.17539210199999999</v>
      </c>
      <c r="AI9">
        <v>0.426021816</v>
      </c>
      <c r="AJ9">
        <v>0.30324895899999998</v>
      </c>
      <c r="AK9">
        <v>0.15170704600000001</v>
      </c>
      <c r="AL9">
        <v>0.35933921099999999</v>
      </c>
      <c r="AM9">
        <v>3.4610673000000002E-2</v>
      </c>
      <c r="AN9">
        <v>0.26224444400000002</v>
      </c>
      <c r="AO9">
        <v>7.7824396000000004E-2</v>
      </c>
      <c r="AS9">
        <v>0.25220803800000002</v>
      </c>
      <c r="AT9">
        <v>0.33273485200000003</v>
      </c>
      <c r="AU9">
        <v>0.44628857100000002</v>
      </c>
      <c r="AV9">
        <v>0.62055030700000002</v>
      </c>
      <c r="AW9">
        <v>0.41334722899999998</v>
      </c>
      <c r="AY9">
        <v>8.0502777999999997E-2</v>
      </c>
      <c r="AZ9">
        <v>0.35289810599999999</v>
      </c>
      <c r="BA9">
        <v>0.12725277600000001</v>
      </c>
      <c r="BB9">
        <v>7.5813888999999995E-2</v>
      </c>
      <c r="BE9">
        <v>0.15172674</v>
      </c>
      <c r="BF9">
        <v>0.22851862100000001</v>
      </c>
      <c r="BH9">
        <v>4.4566665999999998E-2</v>
      </c>
      <c r="BI9">
        <v>0.51409448499999999</v>
      </c>
      <c r="BL9">
        <v>2.5667701000000001E-2</v>
      </c>
      <c r="BM9">
        <v>0.25220803800000002</v>
      </c>
      <c r="BN9">
        <v>0.18680655900000001</v>
      </c>
      <c r="BO9">
        <v>0.41208055399999999</v>
      </c>
      <c r="BQ9">
        <v>0.17536111099999999</v>
      </c>
      <c r="BT9">
        <v>0.42602908900000003</v>
      </c>
      <c r="BU9">
        <v>6.6049999999999998E-2</v>
      </c>
      <c r="BV9">
        <v>0.30324617700000001</v>
      </c>
      <c r="BW9">
        <v>0.28495000100000001</v>
      </c>
      <c r="BX9">
        <v>0.15169444500000001</v>
      </c>
      <c r="BY9">
        <v>0.32098638800000001</v>
      </c>
      <c r="BZ9">
        <v>0.35940724800000001</v>
      </c>
      <c r="CA9">
        <v>0.131258333</v>
      </c>
      <c r="CB9">
        <v>0.25779260500000001</v>
      </c>
      <c r="CC9">
        <v>7.7813888999999997E-2</v>
      </c>
      <c r="CD9">
        <v>0.36441944300000001</v>
      </c>
      <c r="CE9">
        <v>0.449136111</v>
      </c>
      <c r="CG9">
        <v>0.44627777499999999</v>
      </c>
      <c r="CH9">
        <v>8.0502777999999997E-2</v>
      </c>
      <c r="CI9">
        <v>0.352907623</v>
      </c>
      <c r="CJ9">
        <v>0.12725277600000001</v>
      </c>
      <c r="CK9">
        <v>6</v>
      </c>
      <c r="CL9">
        <f t="shared" si="3"/>
        <v>0.2607032561967213</v>
      </c>
      <c r="CM9">
        <f t="shared" si="1"/>
        <v>0.1500216157912253</v>
      </c>
      <c r="CN9">
        <f t="shared" si="2"/>
        <v>1.9208299608400165E-2</v>
      </c>
    </row>
    <row r="10" spans="1:97" x14ac:dyDescent="0.25">
      <c r="A10">
        <v>7</v>
      </c>
      <c r="D10">
        <v>0.38464146500000002</v>
      </c>
      <c r="F10">
        <v>0.28870000099999998</v>
      </c>
      <c r="G10">
        <v>0.28870000099999998</v>
      </c>
      <c r="I10">
        <v>0.21665551899999999</v>
      </c>
      <c r="K10">
        <v>0.27050555399999998</v>
      </c>
      <c r="L10">
        <v>0.17155326300000001</v>
      </c>
      <c r="M10">
        <v>0.31186318000000002</v>
      </c>
      <c r="N10">
        <v>0.22569916500000001</v>
      </c>
      <c r="O10">
        <v>0.34429485399999998</v>
      </c>
      <c r="P10">
        <v>0.272183334</v>
      </c>
      <c r="Q10">
        <v>0.112596715</v>
      </c>
      <c r="R10">
        <v>0.112952778</v>
      </c>
      <c r="T10">
        <v>1.6669443999999999E-2</v>
      </c>
      <c r="U10">
        <v>0.41688160000000002</v>
      </c>
      <c r="V10">
        <v>0.76716110999999998</v>
      </c>
      <c r="W10">
        <v>0.38373433299999998</v>
      </c>
      <c r="AD10">
        <v>0.24758366300000001</v>
      </c>
      <c r="AF10">
        <v>0.191890756</v>
      </c>
      <c r="AJ10">
        <v>0.29729624700000001</v>
      </c>
      <c r="AK10">
        <v>0.16233323</v>
      </c>
      <c r="AM10">
        <v>2.9319066000000001E-2</v>
      </c>
      <c r="AN10">
        <v>0.267290682</v>
      </c>
      <c r="AO10">
        <v>6.4378993999999995E-2</v>
      </c>
      <c r="AT10">
        <v>0.342720199</v>
      </c>
      <c r="AU10">
        <v>0.45010893000000002</v>
      </c>
      <c r="AV10">
        <v>0.60350460299999997</v>
      </c>
      <c r="AW10">
        <v>0.40833750000000002</v>
      </c>
      <c r="AY10">
        <v>5.1078193000000001E-2</v>
      </c>
      <c r="AZ10">
        <v>0.25080200600000002</v>
      </c>
      <c r="BA10">
        <v>0.113892747</v>
      </c>
      <c r="BB10">
        <v>6.7816666999999997E-2</v>
      </c>
      <c r="BE10">
        <v>0.14206046999999999</v>
      </c>
      <c r="BF10">
        <v>0.230835189</v>
      </c>
      <c r="BH10">
        <v>4.2711111000000003E-2</v>
      </c>
      <c r="BI10">
        <v>0.50666667499999996</v>
      </c>
      <c r="BN10">
        <v>0.17835833300000001</v>
      </c>
      <c r="BO10">
        <v>0.40345555399999999</v>
      </c>
      <c r="BQ10">
        <v>0.19100418399999999</v>
      </c>
      <c r="BU10">
        <v>8.5597222000000001E-2</v>
      </c>
      <c r="BV10">
        <v>0.29732981600000002</v>
      </c>
      <c r="BW10">
        <v>0.30339444700000001</v>
      </c>
      <c r="BX10">
        <v>0.16239837500000001</v>
      </c>
      <c r="BY10">
        <v>0.34114167000000001</v>
      </c>
      <c r="CA10">
        <v>0.14212559</v>
      </c>
      <c r="CB10">
        <v>0.26945232200000002</v>
      </c>
      <c r="CC10">
        <v>6.4383333000000001E-2</v>
      </c>
      <c r="CD10">
        <v>0.366823234</v>
      </c>
      <c r="CE10">
        <v>0.439963889</v>
      </c>
      <c r="CG10">
        <v>0.45043572799999998</v>
      </c>
      <c r="CH10">
        <v>5.1107870999999999E-2</v>
      </c>
      <c r="CI10">
        <v>0.25070395200000001</v>
      </c>
      <c r="CJ10">
        <v>0.11388549100000001</v>
      </c>
      <c r="CK10">
        <v>7</v>
      </c>
      <c r="CL10">
        <f t="shared" si="3"/>
        <v>0.25321115875000005</v>
      </c>
      <c r="CM10">
        <f t="shared" si="1"/>
        <v>0.15527847562716765</v>
      </c>
      <c r="CN10">
        <f t="shared" si="2"/>
        <v>2.1533250224986089E-2</v>
      </c>
    </row>
    <row r="11" spans="1:97" x14ac:dyDescent="0.25">
      <c r="A11">
        <v>8</v>
      </c>
      <c r="D11">
        <v>0.37640911500000002</v>
      </c>
      <c r="F11">
        <v>0.29869166800000002</v>
      </c>
      <c r="G11">
        <v>0.29869166800000002</v>
      </c>
      <c r="I11">
        <v>0.21475912</v>
      </c>
      <c r="K11">
        <v>0.25439999899999999</v>
      </c>
      <c r="L11">
        <v>0.16413678100000001</v>
      </c>
      <c r="M11">
        <v>0.311476639</v>
      </c>
      <c r="N11">
        <v>0.21850292800000001</v>
      </c>
      <c r="O11">
        <v>0.35494856800000002</v>
      </c>
      <c r="P11">
        <v>0.27021678700000001</v>
      </c>
      <c r="Q11">
        <v>0.107523624</v>
      </c>
      <c r="R11">
        <v>0.120906059</v>
      </c>
      <c r="T11">
        <v>1.752778E-3</v>
      </c>
      <c r="U11">
        <v>0.451915012</v>
      </c>
      <c r="V11">
        <v>0.763997221</v>
      </c>
      <c r="W11">
        <v>0.372117015</v>
      </c>
      <c r="AD11">
        <v>0.23870198500000001</v>
      </c>
      <c r="AJ11">
        <v>0.30988764000000002</v>
      </c>
      <c r="AM11">
        <v>3.6467481000000003E-2</v>
      </c>
      <c r="AN11">
        <v>0.25838010500000003</v>
      </c>
      <c r="AO11">
        <v>4.7713889000000002E-2</v>
      </c>
      <c r="AT11">
        <v>0.32774812199999998</v>
      </c>
      <c r="AW11">
        <v>0.43202059199999998</v>
      </c>
      <c r="BA11">
        <v>8.2023411000000004E-2</v>
      </c>
      <c r="BB11">
        <v>4.9569323999999998E-2</v>
      </c>
      <c r="BE11">
        <v>0.17963373199999999</v>
      </c>
      <c r="BF11">
        <v>0.109247159</v>
      </c>
      <c r="BH11">
        <v>4.0477777E-2</v>
      </c>
      <c r="BN11">
        <v>0.18151430900000001</v>
      </c>
      <c r="BO11">
        <v>0.39636944299999999</v>
      </c>
      <c r="BU11">
        <v>5.6541653999999997E-2</v>
      </c>
      <c r="BV11">
        <v>0.30988764000000002</v>
      </c>
      <c r="BW11">
        <v>0.31264240300000001</v>
      </c>
      <c r="BY11">
        <v>0.34493333700000001</v>
      </c>
      <c r="CA11">
        <v>0.15333518700000001</v>
      </c>
      <c r="CB11">
        <v>0.26008335700000002</v>
      </c>
      <c r="CC11">
        <v>4.7713889000000002E-2</v>
      </c>
      <c r="CD11">
        <v>0.35089444400000003</v>
      </c>
      <c r="CE11">
        <v>0.457952209</v>
      </c>
      <c r="CI11">
        <v>1.1822139000000001E-2</v>
      </c>
      <c r="CJ11">
        <v>8.2031119999999999E-2</v>
      </c>
      <c r="CK11">
        <v>8</v>
      </c>
      <c r="CL11">
        <f t="shared" si="3"/>
        <v>0.23556188609756096</v>
      </c>
      <c r="CM11">
        <f t="shared" si="1"/>
        <v>0.1573841965412619</v>
      </c>
      <c r="CN11">
        <f t="shared" si="2"/>
        <v>2.4579282035664615E-2</v>
      </c>
    </row>
    <row r="12" spans="1:97" x14ac:dyDescent="0.25">
      <c r="A12">
        <v>9</v>
      </c>
      <c r="D12">
        <v>0.36318510100000001</v>
      </c>
      <c r="F12">
        <v>0.319068929</v>
      </c>
      <c r="G12">
        <v>0.319068929</v>
      </c>
      <c r="I12">
        <v>0.19661097199999999</v>
      </c>
      <c r="K12">
        <v>0.25780067600000001</v>
      </c>
      <c r="L12">
        <v>0.176285794</v>
      </c>
      <c r="M12">
        <v>0.30956642400000001</v>
      </c>
      <c r="N12">
        <v>0.21356546000000001</v>
      </c>
      <c r="O12">
        <v>0.32837874700000003</v>
      </c>
      <c r="P12">
        <v>0.300086136</v>
      </c>
      <c r="Q12">
        <v>0.10357588299999999</v>
      </c>
      <c r="R12">
        <v>0.157559755</v>
      </c>
      <c r="T12">
        <v>3.2471264999999999E-2</v>
      </c>
      <c r="U12">
        <v>0.42710784200000002</v>
      </c>
      <c r="V12">
        <v>0.768415026</v>
      </c>
      <c r="AM12">
        <v>3.6114667000000003E-2</v>
      </c>
      <c r="AT12">
        <v>0.32013351800000001</v>
      </c>
      <c r="AW12">
        <v>0.43299026099999999</v>
      </c>
      <c r="BA12">
        <v>4.6935484E-2</v>
      </c>
      <c r="BB12">
        <v>0.122864685</v>
      </c>
      <c r="BE12">
        <v>0.220525413</v>
      </c>
      <c r="BH12">
        <v>4.0127777000000003E-2</v>
      </c>
      <c r="BN12">
        <v>0.19005834899999999</v>
      </c>
      <c r="BO12">
        <v>0.355773381</v>
      </c>
      <c r="BW12">
        <v>0.31779105400000002</v>
      </c>
      <c r="BY12">
        <v>0.34668611500000002</v>
      </c>
      <c r="CA12">
        <v>0.163094446</v>
      </c>
      <c r="CB12">
        <v>0.25717121599999998</v>
      </c>
      <c r="CC12">
        <v>2.2493243E-2</v>
      </c>
      <c r="CD12">
        <v>0.35731237700000001</v>
      </c>
      <c r="CE12">
        <v>0.46565555600000003</v>
      </c>
      <c r="CJ12">
        <v>4.6938083999999998E-2</v>
      </c>
      <c r="CK12">
        <v>9</v>
      </c>
      <c r="CL12">
        <f t="shared" si="3"/>
        <v>0.25048164265624995</v>
      </c>
      <c r="CM12">
        <f t="shared" si="1"/>
        <v>0.16018664778021813</v>
      </c>
      <c r="CN12">
        <f t="shared" si="2"/>
        <v>2.8317266225233312E-2</v>
      </c>
    </row>
    <row r="13" spans="1:97" x14ac:dyDescent="0.25">
      <c r="A13">
        <v>10</v>
      </c>
      <c r="D13">
        <v>0.38125347199999998</v>
      </c>
      <c r="F13">
        <v>0.303497725</v>
      </c>
      <c r="G13">
        <v>0.303497725</v>
      </c>
      <c r="I13">
        <v>0.19301949900000001</v>
      </c>
      <c r="K13">
        <v>0.20524034499999999</v>
      </c>
      <c r="L13">
        <v>0.18135884799999999</v>
      </c>
      <c r="M13">
        <v>0.30289524699999998</v>
      </c>
      <c r="N13">
        <v>0.20135895400000001</v>
      </c>
      <c r="P13">
        <v>0.32218697800000001</v>
      </c>
      <c r="R13">
        <v>0.170834492</v>
      </c>
      <c r="AM13">
        <v>3.6708511999999999E-2</v>
      </c>
      <c r="AT13">
        <v>0.28667436499999999</v>
      </c>
      <c r="AW13">
        <v>0.40917986899999997</v>
      </c>
      <c r="BB13">
        <v>0.134755556</v>
      </c>
      <c r="BE13">
        <v>0.22972495500000001</v>
      </c>
      <c r="BH13">
        <v>3.9649999999999998E-2</v>
      </c>
      <c r="BN13">
        <v>0.20964712399999999</v>
      </c>
      <c r="BW13">
        <v>0.25946973699999998</v>
      </c>
      <c r="BY13">
        <v>0.31776111299999998</v>
      </c>
      <c r="CA13">
        <v>0.179236113</v>
      </c>
      <c r="CE13">
        <v>0.46483333300000002</v>
      </c>
      <c r="CK13">
        <v>10</v>
      </c>
      <c r="CL13">
        <f t="shared" si="3"/>
        <v>0.24441828390476189</v>
      </c>
      <c r="CM13">
        <f t="shared" si="1"/>
        <v>0.10873994123379348</v>
      </c>
      <c r="CN13">
        <f t="shared" si="2"/>
        <v>2.3729000560424207E-2</v>
      </c>
      <c r="CS13" t="s">
        <v>6</v>
      </c>
    </row>
    <row r="14" spans="1:97" x14ac:dyDescent="0.25">
      <c r="A14">
        <v>11</v>
      </c>
      <c r="D14">
        <v>0.397219129</v>
      </c>
      <c r="I14">
        <v>0.18048004500000001</v>
      </c>
      <c r="K14">
        <v>0.210853015</v>
      </c>
      <c r="M14">
        <v>0.238041594</v>
      </c>
      <c r="N14">
        <v>0.20852326600000001</v>
      </c>
      <c r="P14">
        <v>0.34069042300000002</v>
      </c>
      <c r="R14">
        <v>0.16853767</v>
      </c>
      <c r="AW14">
        <v>0.39573017700000002</v>
      </c>
      <c r="BB14">
        <v>0.136633333</v>
      </c>
      <c r="BE14">
        <v>0.231038353</v>
      </c>
      <c r="BH14">
        <v>3.9461111E-2</v>
      </c>
      <c r="BN14">
        <v>0.218140313</v>
      </c>
      <c r="BY14">
        <v>0.33938333599999998</v>
      </c>
      <c r="CA14">
        <v>0.162791667</v>
      </c>
      <c r="CE14">
        <v>0.42296666700000002</v>
      </c>
      <c r="CK14">
        <v>11</v>
      </c>
      <c r="CL14">
        <f t="shared" si="3"/>
        <v>0.2460326732666667</v>
      </c>
      <c r="CM14">
        <f t="shared" si="1"/>
        <v>0.11013942768531843</v>
      </c>
      <c r="CN14">
        <f t="shared" si="2"/>
        <v>2.8437877945736958E-2</v>
      </c>
    </row>
    <row r="15" spans="1:97" x14ac:dyDescent="0.25">
      <c r="A15">
        <v>12</v>
      </c>
      <c r="D15">
        <v>0.38292384400000001</v>
      </c>
      <c r="I15">
        <v>0.21066555300000001</v>
      </c>
      <c r="K15">
        <v>0.20864369099999999</v>
      </c>
      <c r="N15">
        <v>0.226165437</v>
      </c>
      <c r="P15">
        <v>0.28861752499999999</v>
      </c>
      <c r="R15">
        <v>0.206902113</v>
      </c>
      <c r="AW15">
        <v>0.36163747899999998</v>
      </c>
      <c r="BB15">
        <v>0.104461111</v>
      </c>
      <c r="BE15">
        <v>0.23765109800000001</v>
      </c>
      <c r="BH15">
        <v>3.9366666000000002E-2</v>
      </c>
      <c r="BY15">
        <v>0.28964166800000002</v>
      </c>
      <c r="CA15">
        <v>0.202305556</v>
      </c>
      <c r="CE15">
        <v>4.3913042999999999E-2</v>
      </c>
      <c r="CK15">
        <v>12</v>
      </c>
      <c r="CL15">
        <f t="shared" si="3"/>
        <v>0.21560729107692303</v>
      </c>
      <c r="CM15">
        <f t="shared" si="1"/>
        <v>0.10565171028681611</v>
      </c>
      <c r="CN15">
        <f t="shared" si="2"/>
        <v>2.930251221381398E-2</v>
      </c>
    </row>
    <row r="16" spans="1:97" x14ac:dyDescent="0.25">
      <c r="A16">
        <v>13</v>
      </c>
      <c r="D16">
        <v>0.38668704500000001</v>
      </c>
      <c r="I16">
        <v>0.139399199</v>
      </c>
      <c r="K16">
        <v>0.18791493000000001</v>
      </c>
      <c r="P16">
        <v>0.26188039000000002</v>
      </c>
      <c r="R16">
        <v>0.19094994300000001</v>
      </c>
      <c r="AW16">
        <v>0.30751737800000001</v>
      </c>
      <c r="BB16">
        <v>8.9471929000000006E-2</v>
      </c>
      <c r="BE16">
        <v>0.23646333999999999</v>
      </c>
      <c r="BH16">
        <v>3.7947718999999998E-2</v>
      </c>
      <c r="BY16">
        <v>0.29610555799999999</v>
      </c>
      <c r="CA16">
        <v>0.178060574</v>
      </c>
      <c r="CK16">
        <v>13</v>
      </c>
      <c r="CL16">
        <f t="shared" si="3"/>
        <v>0.21021800045454545</v>
      </c>
      <c r="CM16">
        <f t="shared" si="1"/>
        <v>0.10125104285171056</v>
      </c>
      <c r="CN16">
        <f t="shared" si="2"/>
        <v>3.0528338070120013E-2</v>
      </c>
    </row>
    <row r="17" spans="1:92" x14ac:dyDescent="0.25">
      <c r="A17">
        <v>14</v>
      </c>
      <c r="D17">
        <v>0.38919076400000002</v>
      </c>
      <c r="K17">
        <v>0.20846646199999999</v>
      </c>
      <c r="P17">
        <v>0.29659716600000002</v>
      </c>
      <c r="AW17">
        <v>0.26965814399999999</v>
      </c>
      <c r="BB17">
        <v>1.9429347E-2</v>
      </c>
      <c r="BE17">
        <v>0.191510398</v>
      </c>
      <c r="BH17">
        <v>0.64679767799999999</v>
      </c>
      <c r="BY17">
        <v>0.27025369999999999</v>
      </c>
      <c r="CA17">
        <v>0.17548889000000001</v>
      </c>
      <c r="CK17">
        <v>14</v>
      </c>
      <c r="CL17">
        <f t="shared" si="3"/>
        <v>0.27415472766666671</v>
      </c>
      <c r="CM17">
        <f t="shared" si="1"/>
        <v>0.17262682256781475</v>
      </c>
      <c r="CN17">
        <f t="shared" si="2"/>
        <v>5.7542274189271582E-2</v>
      </c>
    </row>
    <row r="18" spans="1:92" x14ac:dyDescent="0.25">
      <c r="A18">
        <v>15</v>
      </c>
      <c r="D18">
        <v>0.38990271999999998</v>
      </c>
      <c r="K18">
        <v>0.23070194999999999</v>
      </c>
      <c r="P18">
        <v>0.40723859699999998</v>
      </c>
      <c r="AW18">
        <v>0.28634695700000001</v>
      </c>
      <c r="BH18">
        <v>0.82904078000000003</v>
      </c>
      <c r="CA18">
        <v>0.17796389000000001</v>
      </c>
      <c r="CK18">
        <v>15</v>
      </c>
      <c r="CL18">
        <f t="shared" si="3"/>
        <v>0.38686581566666667</v>
      </c>
      <c r="CM18">
        <f t="shared" si="1"/>
        <v>0.23412568441980808</v>
      </c>
      <c r="CN18">
        <f t="shared" si="2"/>
        <v>9.5581410418068544E-2</v>
      </c>
    </row>
    <row r="19" spans="1:92" x14ac:dyDescent="0.25">
      <c r="A19">
        <v>16</v>
      </c>
      <c r="D19">
        <v>0.39520989299999998</v>
      </c>
      <c r="K19">
        <v>0.21172057999999999</v>
      </c>
      <c r="P19">
        <v>0.41671396500000002</v>
      </c>
      <c r="AW19">
        <v>0.31836855600000002</v>
      </c>
      <c r="BH19">
        <v>0.811293245</v>
      </c>
      <c r="CA19">
        <v>0.19330925299999999</v>
      </c>
      <c r="CK19">
        <v>16</v>
      </c>
      <c r="CL19">
        <f t="shared" si="3"/>
        <v>0.39110258199999998</v>
      </c>
      <c r="CM19">
        <f t="shared" si="1"/>
        <v>0.22531016328244144</v>
      </c>
      <c r="CN19">
        <f t="shared" si="2"/>
        <v>9.1982488984190564E-2</v>
      </c>
    </row>
    <row r="20" spans="1:92" x14ac:dyDescent="0.25">
      <c r="A20">
        <v>17</v>
      </c>
      <c r="D20">
        <v>0.334774872</v>
      </c>
      <c r="K20">
        <v>0.26092757599999999</v>
      </c>
      <c r="P20">
        <v>0.33577801800000001</v>
      </c>
      <c r="AW20">
        <v>0.358321045</v>
      </c>
      <c r="CA20">
        <v>0.15043611100000001</v>
      </c>
      <c r="CK20">
        <v>17</v>
      </c>
      <c r="CL20">
        <f t="shared" si="3"/>
        <v>0.28804752440000003</v>
      </c>
      <c r="CM20">
        <f t="shared" si="1"/>
        <v>8.5253160395544481E-2</v>
      </c>
      <c r="CN20">
        <f t="shared" si="2"/>
        <v>3.8126372388226061E-2</v>
      </c>
    </row>
    <row r="21" spans="1:92" x14ac:dyDescent="0.25">
      <c r="A21">
        <v>18</v>
      </c>
      <c r="K21">
        <v>0.294818992</v>
      </c>
      <c r="AW21">
        <v>0.35187600800000002</v>
      </c>
      <c r="CA21">
        <v>0.188751111</v>
      </c>
      <c r="CK21">
        <v>18</v>
      </c>
      <c r="CL21">
        <f t="shared" si="3"/>
        <v>0.27848203700000002</v>
      </c>
      <c r="CM21">
        <f t="shared" si="1"/>
        <v>8.2780463149943542E-2</v>
      </c>
      <c r="CN21">
        <f t="shared" si="2"/>
        <v>4.77933226832618E-2</v>
      </c>
    </row>
    <row r="22" spans="1:92" x14ac:dyDescent="0.25">
      <c r="A22">
        <v>19</v>
      </c>
      <c r="AW22">
        <v>0.32894720399999999</v>
      </c>
      <c r="CK22">
        <v>19</v>
      </c>
      <c r="CL22">
        <f t="shared" si="3"/>
        <v>0.32894720399999999</v>
      </c>
      <c r="CM22">
        <v>0</v>
      </c>
      <c r="CN22">
        <v>0</v>
      </c>
    </row>
    <row r="23" spans="1:92" x14ac:dyDescent="0.25">
      <c r="A23">
        <v>20</v>
      </c>
      <c r="CK23">
        <v>20</v>
      </c>
    </row>
    <row r="24" spans="1:92" x14ac:dyDescent="0.25">
      <c r="A24">
        <v>21</v>
      </c>
      <c r="CK24">
        <v>21</v>
      </c>
    </row>
    <row r="25" spans="1:92" x14ac:dyDescent="0.25">
      <c r="A25">
        <v>22</v>
      </c>
      <c r="CK25">
        <v>22</v>
      </c>
    </row>
    <row r="26" spans="1:92" x14ac:dyDescent="0.25">
      <c r="A26">
        <v>23</v>
      </c>
      <c r="CK26">
        <v>23</v>
      </c>
    </row>
    <row r="27" spans="1:92" x14ac:dyDescent="0.25">
      <c r="A27">
        <v>24</v>
      </c>
      <c r="CK27">
        <v>24</v>
      </c>
    </row>
    <row r="1048576" spans="91:91" x14ac:dyDescent="0.25">
      <c r="CM1048576" t="e">
        <f>STDEV(C1048576:CL1048576)</f>
        <v>#DIV/0!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48576"/>
  <sheetViews>
    <sheetView topLeftCell="X1" workbookViewId="0">
      <selection activeCell="AI18" sqref="AI18"/>
    </sheetView>
  </sheetViews>
  <sheetFormatPr defaultRowHeight="15" x14ac:dyDescent="0.25"/>
  <sheetData>
    <row r="1" spans="1:97" x14ac:dyDescent="0.25">
      <c r="B1" t="s">
        <v>1</v>
      </c>
    </row>
    <row r="2" spans="1:97" x14ac:dyDescent="0.25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f t="shared" ref="AL2:BQ2" si="0">AK2+1</f>
        <v>37</v>
      </c>
      <c r="AM2">
        <f t="shared" si="0"/>
        <v>38</v>
      </c>
      <c r="AN2">
        <f t="shared" si="0"/>
        <v>39</v>
      </c>
      <c r="AO2">
        <f t="shared" si="0"/>
        <v>40</v>
      </c>
      <c r="AP2">
        <f t="shared" si="0"/>
        <v>41</v>
      </c>
      <c r="AQ2">
        <f t="shared" si="0"/>
        <v>42</v>
      </c>
      <c r="AR2">
        <f t="shared" si="0"/>
        <v>43</v>
      </c>
      <c r="AS2">
        <f t="shared" si="0"/>
        <v>44</v>
      </c>
      <c r="AT2">
        <f t="shared" si="0"/>
        <v>45</v>
      </c>
      <c r="AU2">
        <f t="shared" si="0"/>
        <v>46</v>
      </c>
      <c r="AV2">
        <f t="shared" si="0"/>
        <v>47</v>
      </c>
      <c r="AW2">
        <f t="shared" si="0"/>
        <v>48</v>
      </c>
      <c r="AX2">
        <f t="shared" si="0"/>
        <v>49</v>
      </c>
      <c r="AY2">
        <f t="shared" si="0"/>
        <v>50</v>
      </c>
      <c r="AZ2">
        <f t="shared" si="0"/>
        <v>51</v>
      </c>
      <c r="BA2">
        <f t="shared" si="0"/>
        <v>52</v>
      </c>
      <c r="BB2">
        <f t="shared" si="0"/>
        <v>53</v>
      </c>
      <c r="BC2">
        <f t="shared" si="0"/>
        <v>54</v>
      </c>
      <c r="BD2">
        <f t="shared" si="0"/>
        <v>55</v>
      </c>
      <c r="BE2">
        <f t="shared" si="0"/>
        <v>56</v>
      </c>
      <c r="BF2">
        <f t="shared" si="0"/>
        <v>57</v>
      </c>
      <c r="BG2">
        <f t="shared" si="0"/>
        <v>58</v>
      </c>
      <c r="BH2">
        <f t="shared" si="0"/>
        <v>59</v>
      </c>
      <c r="BI2">
        <f t="shared" si="0"/>
        <v>60</v>
      </c>
      <c r="BJ2">
        <f t="shared" si="0"/>
        <v>61</v>
      </c>
      <c r="BK2">
        <f t="shared" si="0"/>
        <v>62</v>
      </c>
      <c r="BL2">
        <f t="shared" si="0"/>
        <v>63</v>
      </c>
      <c r="BM2">
        <f t="shared" si="0"/>
        <v>64</v>
      </c>
      <c r="BN2">
        <f t="shared" si="0"/>
        <v>65</v>
      </c>
      <c r="BO2">
        <f t="shared" si="0"/>
        <v>66</v>
      </c>
      <c r="BP2">
        <f t="shared" si="0"/>
        <v>67</v>
      </c>
      <c r="BQ2">
        <f t="shared" si="0"/>
        <v>68</v>
      </c>
      <c r="BR2">
        <f t="shared" ref="BR2:CJ2" si="1">BQ2+1</f>
        <v>69</v>
      </c>
      <c r="BS2">
        <f t="shared" si="1"/>
        <v>70</v>
      </c>
      <c r="BT2">
        <f t="shared" si="1"/>
        <v>71</v>
      </c>
      <c r="BU2">
        <f t="shared" si="1"/>
        <v>72</v>
      </c>
      <c r="BV2">
        <f t="shared" si="1"/>
        <v>73</v>
      </c>
      <c r="BW2">
        <f t="shared" si="1"/>
        <v>74</v>
      </c>
      <c r="BX2">
        <f t="shared" si="1"/>
        <v>75</v>
      </c>
      <c r="BY2">
        <f t="shared" si="1"/>
        <v>76</v>
      </c>
      <c r="BZ2">
        <f t="shared" si="1"/>
        <v>77</v>
      </c>
      <c r="CA2">
        <f t="shared" si="1"/>
        <v>78</v>
      </c>
      <c r="CB2">
        <f t="shared" si="1"/>
        <v>79</v>
      </c>
      <c r="CC2">
        <f t="shared" si="1"/>
        <v>80</v>
      </c>
      <c r="CD2">
        <f t="shared" si="1"/>
        <v>81</v>
      </c>
      <c r="CE2">
        <f t="shared" si="1"/>
        <v>82</v>
      </c>
      <c r="CF2">
        <f t="shared" si="1"/>
        <v>83</v>
      </c>
      <c r="CG2">
        <f t="shared" si="1"/>
        <v>84</v>
      </c>
      <c r="CH2">
        <f t="shared" si="1"/>
        <v>85</v>
      </c>
      <c r="CI2">
        <f t="shared" si="1"/>
        <v>86</v>
      </c>
      <c r="CJ2">
        <f t="shared" si="1"/>
        <v>87</v>
      </c>
      <c r="CK2" t="s">
        <v>5</v>
      </c>
      <c r="CL2" t="s">
        <v>2</v>
      </c>
      <c r="CM2" t="s">
        <v>3</v>
      </c>
      <c r="CN2" t="s">
        <v>4</v>
      </c>
    </row>
    <row r="3" spans="1:97" x14ac:dyDescent="0.25">
      <c r="A3">
        <v>0</v>
      </c>
      <c r="B3">
        <v>7.1576257849999996</v>
      </c>
      <c r="C3">
        <v>7.0047720299999998</v>
      </c>
      <c r="D3">
        <v>7.0031027899999998</v>
      </c>
      <c r="E3">
        <v>7.0798648780000004</v>
      </c>
      <c r="F3">
        <v>7.0648929589999998</v>
      </c>
      <c r="G3">
        <v>7.0648929589999998</v>
      </c>
      <c r="H3">
        <v>7.24810088</v>
      </c>
      <c r="I3">
        <v>7.2580489320000003</v>
      </c>
      <c r="J3">
        <v>7.2194034949999999</v>
      </c>
      <c r="K3">
        <v>7.184823186</v>
      </c>
      <c r="L3">
        <v>7.171002004</v>
      </c>
      <c r="M3">
        <v>7.2054070530000001</v>
      </c>
      <c r="N3">
        <v>6.9911666700000001</v>
      </c>
      <c r="O3">
        <v>6.9352336360000004</v>
      </c>
      <c r="P3">
        <v>7.1578481470000002</v>
      </c>
      <c r="Q3">
        <v>7.0835755569999996</v>
      </c>
      <c r="R3">
        <v>7.1018849209999999</v>
      </c>
      <c r="S3">
        <v>7.0951784489999996</v>
      </c>
      <c r="T3">
        <v>6.9216615560000001</v>
      </c>
      <c r="U3">
        <v>7.152031096</v>
      </c>
      <c r="V3">
        <v>7.2294777379999999</v>
      </c>
      <c r="W3">
        <v>7.0114202089999997</v>
      </c>
      <c r="X3">
        <v>7.0590213159999999</v>
      </c>
      <c r="Y3">
        <v>7.1969922210000004</v>
      </c>
      <c r="Z3">
        <v>7.278110678</v>
      </c>
      <c r="AB3">
        <v>7.1095444260000003</v>
      </c>
      <c r="AC3">
        <v>7.2967242079999997</v>
      </c>
      <c r="AD3">
        <v>7.0267184919999996</v>
      </c>
      <c r="AE3">
        <v>7.2014340920000004</v>
      </c>
      <c r="AF3">
        <v>7.1600361530000001</v>
      </c>
      <c r="AG3">
        <v>7.139016399</v>
      </c>
      <c r="AH3">
        <v>7.3270876249999999</v>
      </c>
      <c r="AI3">
        <v>7.2273663389999996</v>
      </c>
      <c r="AJ3">
        <v>7.198498356</v>
      </c>
      <c r="AK3">
        <v>7.0864635170000003</v>
      </c>
      <c r="AL3">
        <v>7.1849404789999998</v>
      </c>
      <c r="AM3">
        <v>7.1783833670000003</v>
      </c>
      <c r="AN3">
        <v>7.3029197689999998</v>
      </c>
      <c r="AO3">
        <v>7.3754670559999997</v>
      </c>
      <c r="AP3">
        <v>6.8992722200000003</v>
      </c>
      <c r="AQ3">
        <v>7.2064472220000004</v>
      </c>
      <c r="AR3">
        <v>7.1352805369999999</v>
      </c>
      <c r="AS3">
        <v>7.1505166310000003</v>
      </c>
      <c r="AT3">
        <v>7.0090343429999997</v>
      </c>
      <c r="AU3">
        <v>7.0655638429999996</v>
      </c>
      <c r="AV3">
        <v>7.1152083270000004</v>
      </c>
      <c r="AW3">
        <v>7.0238192030000004</v>
      </c>
      <c r="AY3">
        <v>7.1800444829999996</v>
      </c>
      <c r="AZ3">
        <v>7.1859944410000001</v>
      </c>
      <c r="BA3">
        <v>7.2134194599999999</v>
      </c>
      <c r="BB3">
        <v>7.3129482829999999</v>
      </c>
      <c r="BC3">
        <v>7.2093063199999996</v>
      </c>
      <c r="BD3">
        <v>6.9711297249999999</v>
      </c>
      <c r="BE3">
        <v>7.3257577139999999</v>
      </c>
      <c r="BF3">
        <v>7.0319838639999999</v>
      </c>
      <c r="BG3">
        <v>8.0219069249999997</v>
      </c>
      <c r="BH3">
        <v>8.1166698579999998</v>
      </c>
      <c r="BI3">
        <v>7.1100001339999999</v>
      </c>
      <c r="BJ3">
        <v>7.2719700109999996</v>
      </c>
      <c r="BK3">
        <v>7.325052758</v>
      </c>
      <c r="BL3">
        <v>7.3081749509999998</v>
      </c>
      <c r="BM3">
        <v>7.1505166310000003</v>
      </c>
      <c r="BN3">
        <v>7.0798305350000001</v>
      </c>
      <c r="BO3">
        <v>7.1135944599999998</v>
      </c>
      <c r="BP3">
        <v>7.2014110730000001</v>
      </c>
      <c r="BQ3">
        <v>7.1600889109999999</v>
      </c>
      <c r="BR3">
        <v>7.3270138920000001</v>
      </c>
      <c r="BS3">
        <v>7.1390416720000003</v>
      </c>
      <c r="BT3">
        <v>7.2273152339999998</v>
      </c>
      <c r="BU3">
        <v>7.2250352319999998</v>
      </c>
      <c r="BV3">
        <v>7.1986222470000003</v>
      </c>
      <c r="BW3">
        <v>7.3370028249999999</v>
      </c>
      <c r="BX3">
        <v>7.0864444110000004</v>
      </c>
      <c r="BY3">
        <v>7.1835283370000003</v>
      </c>
      <c r="BZ3">
        <v>7.1843723820000003</v>
      </c>
      <c r="CA3">
        <v>7.1678800069999999</v>
      </c>
      <c r="CB3">
        <v>7.1758421979999998</v>
      </c>
      <c r="CC3">
        <v>7.3755305770000001</v>
      </c>
      <c r="CD3">
        <v>7.0560394510000002</v>
      </c>
      <c r="CE3">
        <v>7.0309437470000002</v>
      </c>
      <c r="CF3">
        <v>7.2028205559999998</v>
      </c>
      <c r="CG3">
        <v>7.0656086260000004</v>
      </c>
      <c r="CH3">
        <v>7.1800639459999998</v>
      </c>
      <c r="CI3">
        <v>7.1859755390000002</v>
      </c>
      <c r="CJ3">
        <v>7.2133861709999998</v>
      </c>
      <c r="CK3">
        <v>0</v>
      </c>
      <c r="CL3">
        <f>AVERAGE(B3:CJ3)</f>
        <v>7.1782064627764717</v>
      </c>
      <c r="CM3">
        <f t="shared" ref="CM3:CM21" si="2">STDEV(B3:CJ3)</f>
        <v>0.17420901430290811</v>
      </c>
      <c r="CN3">
        <f t="shared" ref="CN3:CN21" si="3">CM3/SQRT(COUNT(B3:CJ3))</f>
        <v>1.8895620614433339E-2</v>
      </c>
    </row>
    <row r="4" spans="1:97" x14ac:dyDescent="0.25">
      <c r="A4">
        <v>1</v>
      </c>
      <c r="B4">
        <v>7.2270575130000001</v>
      </c>
      <c r="C4">
        <v>7.2506448360000002</v>
      </c>
      <c r="D4">
        <v>7.067288918</v>
      </c>
      <c r="E4">
        <v>7.1545416399999997</v>
      </c>
      <c r="F4">
        <v>7.1612488399999998</v>
      </c>
      <c r="G4">
        <v>7.1612488399999998</v>
      </c>
      <c r="H4">
        <v>7.3114004039999996</v>
      </c>
      <c r="I4">
        <v>7.320704536</v>
      </c>
      <c r="J4">
        <v>7.3139166959999997</v>
      </c>
      <c r="K4">
        <v>7.2534222909999997</v>
      </c>
      <c r="L4">
        <v>7.2258021379999997</v>
      </c>
      <c r="M4">
        <v>7.3609227349999999</v>
      </c>
      <c r="N4">
        <v>7.1420038579999998</v>
      </c>
      <c r="O4">
        <v>7.1255196009999997</v>
      </c>
      <c r="P4">
        <v>7.1612954689999997</v>
      </c>
      <c r="Q4">
        <v>7.2132450439999998</v>
      </c>
      <c r="R4">
        <v>7.1218120630000001</v>
      </c>
      <c r="S4">
        <v>7.2238892620000001</v>
      </c>
      <c r="T4">
        <v>7.0655759649999998</v>
      </c>
      <c r="U4">
        <v>7.282533377</v>
      </c>
      <c r="V4">
        <v>7.4140499540000002</v>
      </c>
      <c r="W4">
        <v>7.2503925410000001</v>
      </c>
      <c r="X4">
        <v>7.2155302350000001</v>
      </c>
      <c r="Y4">
        <v>7.3262743319999997</v>
      </c>
      <c r="Z4">
        <v>7.3832388629999999</v>
      </c>
      <c r="AB4">
        <v>7.2571751539999996</v>
      </c>
      <c r="AC4">
        <v>7.4485114640000001</v>
      </c>
      <c r="AD4">
        <v>7.0698608060000003</v>
      </c>
      <c r="AE4">
        <v>7.3969443679999998</v>
      </c>
      <c r="AF4">
        <v>7.332608617</v>
      </c>
      <c r="AG4">
        <v>7.2929080390000003</v>
      </c>
      <c r="AH4">
        <v>7.5032036839999998</v>
      </c>
      <c r="AI4">
        <v>7.3943193559999996</v>
      </c>
      <c r="AJ4">
        <v>7.2835187770000003</v>
      </c>
      <c r="AK4">
        <v>7.2863533069999997</v>
      </c>
      <c r="AL4">
        <v>7.2726622369999996</v>
      </c>
      <c r="AM4">
        <v>7.2580695039999998</v>
      </c>
      <c r="AN4">
        <v>7.6594161559999998</v>
      </c>
      <c r="AO4">
        <v>7.4554467009999996</v>
      </c>
      <c r="AP4">
        <v>7.0850916609999999</v>
      </c>
      <c r="AQ4">
        <v>7.3169638729999997</v>
      </c>
      <c r="AR4">
        <v>7.1877406060000002</v>
      </c>
      <c r="AS4">
        <v>7.1793276940000004</v>
      </c>
      <c r="AT4">
        <v>7.1381860890000004</v>
      </c>
      <c r="AU4">
        <v>7.2077333379999997</v>
      </c>
      <c r="AV4">
        <v>7.2509394589999996</v>
      </c>
      <c r="AW4">
        <v>7.1921610630000004</v>
      </c>
      <c r="AY4">
        <v>7.3719749989999999</v>
      </c>
      <c r="AZ4">
        <v>7.3485376330000003</v>
      </c>
      <c r="BA4">
        <v>7.3760016139999998</v>
      </c>
      <c r="BB4">
        <v>7.378171128</v>
      </c>
      <c r="BC4">
        <v>7.2654435230000001</v>
      </c>
      <c r="BD4">
        <v>7.0424379720000001</v>
      </c>
      <c r="BE4">
        <v>7.5161692999999996</v>
      </c>
      <c r="BF4">
        <v>7.2417854190000002</v>
      </c>
      <c r="BG4">
        <v>8.0392822840000004</v>
      </c>
      <c r="BH4">
        <v>8.0877834370000006</v>
      </c>
      <c r="BI4">
        <v>7.1100001339999999</v>
      </c>
      <c r="BJ4">
        <v>7.270658557</v>
      </c>
      <c r="BK4">
        <v>7.258275051</v>
      </c>
      <c r="BL4">
        <v>7.3948665839999999</v>
      </c>
      <c r="BM4">
        <v>7.1793276940000004</v>
      </c>
      <c r="BN4">
        <v>7.2279800859999996</v>
      </c>
      <c r="BO4">
        <v>7.2985528510000002</v>
      </c>
      <c r="BP4">
        <v>7.3969443679999998</v>
      </c>
      <c r="BQ4">
        <v>7.3324999210000001</v>
      </c>
      <c r="BR4">
        <v>7.5032223470000003</v>
      </c>
      <c r="BS4">
        <v>7.2929472830000002</v>
      </c>
      <c r="BT4">
        <v>7.3943193559999996</v>
      </c>
      <c r="BU4">
        <v>7.2871861119999997</v>
      </c>
      <c r="BV4">
        <v>7.2835583350000004</v>
      </c>
      <c r="BW4">
        <v>7.4563722510000003</v>
      </c>
      <c r="BX4">
        <v>7.2864073730000003</v>
      </c>
      <c r="BY4">
        <v>7.3377638559999996</v>
      </c>
      <c r="BZ4">
        <v>7.2707639149999999</v>
      </c>
      <c r="CA4">
        <v>7.2815389120000003</v>
      </c>
      <c r="CB4">
        <v>7.3153266209999996</v>
      </c>
      <c r="CC4">
        <v>7.453802574</v>
      </c>
      <c r="CD4">
        <v>7.19007942</v>
      </c>
      <c r="CE4">
        <v>7.2363583650000001</v>
      </c>
      <c r="CF4">
        <v>7.3496887839999996</v>
      </c>
      <c r="CG4">
        <v>7.2077333379999997</v>
      </c>
      <c r="CH4">
        <v>7.3719749989999999</v>
      </c>
      <c r="CI4">
        <v>7.348597185</v>
      </c>
      <c r="CJ4">
        <v>7.3760110579999996</v>
      </c>
      <c r="CK4">
        <v>1</v>
      </c>
      <c r="CL4">
        <f>AVERAGE(B4:CJ4)</f>
        <v>7.3009770181529419</v>
      </c>
      <c r="CM4">
        <f t="shared" si="2"/>
        <v>0.16473078852222009</v>
      </c>
      <c r="CN4">
        <f t="shared" si="3"/>
        <v>1.7867562685476717E-2</v>
      </c>
    </row>
    <row r="5" spans="1:97" x14ac:dyDescent="0.25">
      <c r="A5">
        <v>2</v>
      </c>
      <c r="B5">
        <v>7.2169495860000001</v>
      </c>
      <c r="C5">
        <v>7.2789687699999996</v>
      </c>
      <c r="D5">
        <v>7.0977827949999996</v>
      </c>
      <c r="E5">
        <v>7.1579882379999997</v>
      </c>
      <c r="F5">
        <v>7.1160480100000001</v>
      </c>
      <c r="G5">
        <v>7.1160480100000001</v>
      </c>
      <c r="H5">
        <v>7.4336814789999996</v>
      </c>
      <c r="I5">
        <v>7.3556883930000003</v>
      </c>
      <c r="J5">
        <v>7.301088902</v>
      </c>
      <c r="K5">
        <v>7.3349333489999999</v>
      </c>
      <c r="L5">
        <v>7.1883546029999996</v>
      </c>
      <c r="M5">
        <v>7.3006362969999996</v>
      </c>
      <c r="N5">
        <v>7.1801147260000002</v>
      </c>
      <c r="O5">
        <v>7.1177310680000003</v>
      </c>
      <c r="P5">
        <v>7.2397361509999998</v>
      </c>
      <c r="Q5">
        <v>7.1631971520000004</v>
      </c>
      <c r="R5">
        <v>7.173947171</v>
      </c>
      <c r="S5">
        <v>7.2397357470000001</v>
      </c>
      <c r="T5">
        <v>7.2396053</v>
      </c>
      <c r="U5">
        <v>7.3469446810000001</v>
      </c>
      <c r="V5">
        <v>7.4262721379999999</v>
      </c>
      <c r="W5">
        <v>7.2630373759999998</v>
      </c>
      <c r="X5">
        <v>7.2754958609999996</v>
      </c>
      <c r="Y5">
        <v>7.3062868070000002</v>
      </c>
      <c r="Z5">
        <v>7.3752150360000002</v>
      </c>
      <c r="AB5">
        <v>7.2502172859999998</v>
      </c>
      <c r="AC5">
        <v>7.4334863220000003</v>
      </c>
      <c r="AD5">
        <v>7.2142930099999996</v>
      </c>
      <c r="AE5">
        <v>7.4643051189999996</v>
      </c>
      <c r="AF5">
        <v>7.3224408370000003</v>
      </c>
      <c r="AG5">
        <v>7.3550298779999999</v>
      </c>
      <c r="AH5">
        <v>7.4466185459999998</v>
      </c>
      <c r="AI5">
        <v>7.3808915959999997</v>
      </c>
      <c r="AJ5">
        <v>7.2578646200000003</v>
      </c>
      <c r="AK5">
        <v>7.300261463</v>
      </c>
      <c r="AL5">
        <v>7.3140528299999996</v>
      </c>
      <c r="AM5">
        <v>7.3013139039999997</v>
      </c>
      <c r="AN5">
        <v>7.6310582499999997</v>
      </c>
      <c r="AO5">
        <v>7.5034422449999996</v>
      </c>
      <c r="AP5">
        <v>7.0146917029999996</v>
      </c>
      <c r="AQ5">
        <v>7.2797861920000004</v>
      </c>
      <c r="AR5">
        <v>7.1974039379999999</v>
      </c>
      <c r="AS5">
        <v>7.1834693950000004</v>
      </c>
      <c r="AT5">
        <v>7.1078826900000003</v>
      </c>
      <c r="AU5">
        <v>7.2690492039999999</v>
      </c>
      <c r="AV5">
        <v>7.2860873709999998</v>
      </c>
      <c r="AW5">
        <v>7.2011443609999999</v>
      </c>
      <c r="AY5">
        <v>7.4259638639999999</v>
      </c>
      <c r="AZ5">
        <v>7.3554709699999998</v>
      </c>
      <c r="BA5">
        <v>7.4132471339999997</v>
      </c>
      <c r="BB5">
        <v>7.3614324140000003</v>
      </c>
      <c r="BC5">
        <v>7.1826936290000001</v>
      </c>
      <c r="BD5">
        <v>7.063991669</v>
      </c>
      <c r="BE5">
        <v>7.5076912839999999</v>
      </c>
      <c r="BF5">
        <v>7.2540846969999997</v>
      </c>
      <c r="BG5">
        <v>8.0670572660000008</v>
      </c>
      <c r="BH5">
        <v>8.0866499489999999</v>
      </c>
      <c r="BI5">
        <v>7.1023683220000002</v>
      </c>
      <c r="BJ5">
        <v>7.2498898240000003</v>
      </c>
      <c r="BK5">
        <v>7.1129584589999997</v>
      </c>
      <c r="BL5">
        <v>7.3861693920000002</v>
      </c>
      <c r="BM5">
        <v>7.1834693950000004</v>
      </c>
      <c r="BN5">
        <v>7.200291784</v>
      </c>
      <c r="BO5">
        <v>7.233975075</v>
      </c>
      <c r="BP5">
        <v>7.4643193940000003</v>
      </c>
      <c r="BQ5">
        <v>7.3225451320000001</v>
      </c>
      <c r="BR5">
        <v>7.4466444850000002</v>
      </c>
      <c r="BS5">
        <v>7.3550298779999999</v>
      </c>
      <c r="BT5">
        <v>7.3808915959999997</v>
      </c>
      <c r="BU5">
        <v>7.3190555850000001</v>
      </c>
      <c r="BV5">
        <v>7.2580262419999997</v>
      </c>
      <c r="BW5">
        <v>7.4373804449999996</v>
      </c>
      <c r="BX5">
        <v>7.3002861729999999</v>
      </c>
      <c r="BY5">
        <v>7.350789067</v>
      </c>
      <c r="BZ5">
        <v>7.3141194230000002</v>
      </c>
      <c r="CA5">
        <v>7.3082758490000002</v>
      </c>
      <c r="CB5">
        <v>7.3592328169999996</v>
      </c>
      <c r="CC5">
        <v>7.5034602990000003</v>
      </c>
      <c r="CD5">
        <v>7.2134740969999998</v>
      </c>
      <c r="CE5">
        <v>7.3657555490000002</v>
      </c>
      <c r="CF5">
        <v>7.3293527779999996</v>
      </c>
      <c r="CG5">
        <v>7.2690527740000004</v>
      </c>
      <c r="CH5">
        <v>7.4259638639999999</v>
      </c>
      <c r="CI5">
        <v>7.3554709699999998</v>
      </c>
      <c r="CJ5">
        <v>7.4132471339999997</v>
      </c>
      <c r="CK5">
        <v>2</v>
      </c>
      <c r="CL5">
        <f t="shared" ref="CL5:CL22" si="4">AVERAGE(B5:CJ5)</f>
        <v>7.3134124362823538</v>
      </c>
      <c r="CM5">
        <f t="shared" si="2"/>
        <v>0.16580693969078522</v>
      </c>
      <c r="CN5">
        <f t="shared" si="3"/>
        <v>1.7984287668316175E-2</v>
      </c>
    </row>
    <row r="6" spans="1:97" x14ac:dyDescent="0.25">
      <c r="A6">
        <v>3</v>
      </c>
      <c r="B6">
        <v>7.2273755380000004</v>
      </c>
      <c r="C6">
        <v>7.3068833169999996</v>
      </c>
      <c r="D6">
        <v>7.1048138390000002</v>
      </c>
      <c r="E6">
        <v>7.2278844170000003</v>
      </c>
      <c r="F6">
        <v>7.1569276820000001</v>
      </c>
      <c r="G6">
        <v>7.1569276820000001</v>
      </c>
      <c r="H6">
        <v>7.4851862630000001</v>
      </c>
      <c r="I6">
        <v>7.390019433</v>
      </c>
      <c r="J6">
        <v>7.3315027620000004</v>
      </c>
      <c r="K6">
        <v>7.3322875459999999</v>
      </c>
      <c r="L6">
        <v>7.221971173</v>
      </c>
      <c r="M6">
        <v>7.3402973649999996</v>
      </c>
      <c r="N6">
        <v>7.1572832159999997</v>
      </c>
      <c r="O6">
        <v>7.1845954279999997</v>
      </c>
      <c r="P6">
        <v>7.3458809929999997</v>
      </c>
      <c r="Q6">
        <v>7.1815578970000002</v>
      </c>
      <c r="R6">
        <v>7.1755075850000001</v>
      </c>
      <c r="S6">
        <v>7.2934319009999999</v>
      </c>
      <c r="T6">
        <v>7.3102278260000002</v>
      </c>
      <c r="U6">
        <v>7.3043528039999996</v>
      </c>
      <c r="V6">
        <v>7.4271277180000004</v>
      </c>
      <c r="W6">
        <v>7.2442265350000001</v>
      </c>
      <c r="X6">
        <v>7.2688144110000001</v>
      </c>
      <c r="Y6">
        <v>7.2883523449999998</v>
      </c>
      <c r="Z6">
        <v>7.3375226329999998</v>
      </c>
      <c r="AB6">
        <v>7.2523460770000003</v>
      </c>
      <c r="AC6">
        <v>7.3879768019999998</v>
      </c>
      <c r="AD6">
        <v>7.2989323500000003</v>
      </c>
      <c r="AE6">
        <v>7.4204115799999997</v>
      </c>
      <c r="AF6">
        <v>7.3115642059999999</v>
      </c>
      <c r="AH6">
        <v>7.5207786670000001</v>
      </c>
      <c r="AI6">
        <v>7.3921249629999997</v>
      </c>
      <c r="AJ6">
        <v>7.2368948460000002</v>
      </c>
      <c r="AK6">
        <v>7.2984625960000002</v>
      </c>
      <c r="AL6">
        <v>7.3303008780000001</v>
      </c>
      <c r="AM6">
        <v>7.3387555500000001</v>
      </c>
      <c r="AN6">
        <v>7.6150861000000001</v>
      </c>
      <c r="AO6">
        <v>7.501293553</v>
      </c>
      <c r="AP6">
        <v>7.2380444649999998</v>
      </c>
      <c r="AQ6">
        <v>7.2903557230000002</v>
      </c>
      <c r="AR6">
        <v>7.2631491329999998</v>
      </c>
      <c r="AS6">
        <v>7.1483276480000004</v>
      </c>
      <c r="AT6">
        <v>7.2026965729999999</v>
      </c>
      <c r="AU6">
        <v>7.2525313579999997</v>
      </c>
      <c r="AV6">
        <v>7.3620517080000001</v>
      </c>
      <c r="AW6">
        <v>7.253414019</v>
      </c>
      <c r="AY6">
        <v>7.4157611299999999</v>
      </c>
      <c r="AZ6">
        <v>7.3779248869999998</v>
      </c>
      <c r="BA6">
        <v>7.3874777250000001</v>
      </c>
      <c r="BB6">
        <v>7.4084693680000004</v>
      </c>
      <c r="BC6">
        <v>7.2094165950000004</v>
      </c>
      <c r="BD6">
        <v>7.1077042410000004</v>
      </c>
      <c r="BE6">
        <v>7.4680140340000003</v>
      </c>
      <c r="BF6">
        <v>7.2449514549999998</v>
      </c>
      <c r="BG6">
        <v>8.0457390350000004</v>
      </c>
      <c r="BH6">
        <v>8.094322279</v>
      </c>
      <c r="BI6">
        <v>7.0561555370000004</v>
      </c>
      <c r="BL6">
        <v>7.3790499599999997</v>
      </c>
      <c r="BM6">
        <v>7.1483276480000004</v>
      </c>
      <c r="BN6">
        <v>7.2433788559999996</v>
      </c>
      <c r="BO6">
        <v>7.26761385</v>
      </c>
      <c r="BP6">
        <v>7.4205193420000004</v>
      </c>
      <c r="BQ6">
        <v>7.3095889420000004</v>
      </c>
      <c r="BR6">
        <v>7.520819468</v>
      </c>
      <c r="BT6">
        <v>7.3921249629999997</v>
      </c>
      <c r="BU6">
        <v>7.3405889159999997</v>
      </c>
      <c r="BV6">
        <v>7.2370305769999996</v>
      </c>
      <c r="BW6">
        <v>7.4289690730000002</v>
      </c>
      <c r="BX6">
        <v>7.2985055440000002</v>
      </c>
      <c r="BY6">
        <v>7.3237253369999999</v>
      </c>
      <c r="BZ6">
        <v>7.330388932</v>
      </c>
      <c r="CA6">
        <v>7.3631250140000004</v>
      </c>
      <c r="CB6">
        <v>7.3775479290000003</v>
      </c>
      <c r="CC6">
        <v>7.5015814269999996</v>
      </c>
      <c r="CD6">
        <v>7.1983300549999996</v>
      </c>
      <c r="CE6">
        <v>7.3899305059999998</v>
      </c>
      <c r="CF6">
        <v>7.3273556839999996</v>
      </c>
      <c r="CG6">
        <v>7.2525313579999997</v>
      </c>
      <c r="CH6">
        <v>7.4157571730000003</v>
      </c>
      <c r="CI6">
        <v>7.3779883210000001</v>
      </c>
      <c r="CJ6">
        <v>7.3874659100000004</v>
      </c>
      <c r="CK6">
        <v>3</v>
      </c>
      <c r="CL6">
        <f t="shared" si="4"/>
        <v>7.3304276317901254</v>
      </c>
      <c r="CM6">
        <f t="shared" si="2"/>
        <v>0.15883422600708935</v>
      </c>
      <c r="CN6">
        <f t="shared" si="3"/>
        <v>1.7648247334121039E-2</v>
      </c>
    </row>
    <row r="7" spans="1:97" x14ac:dyDescent="0.25">
      <c r="A7">
        <v>4</v>
      </c>
      <c r="D7">
        <v>7.1354848090000003</v>
      </c>
      <c r="F7">
        <v>7.2258472349999998</v>
      </c>
      <c r="G7">
        <v>7.2258472349999998</v>
      </c>
      <c r="H7">
        <v>7.4981687189999997</v>
      </c>
      <c r="I7">
        <v>7.4019793189999996</v>
      </c>
      <c r="J7">
        <v>7.3355277640000001</v>
      </c>
      <c r="K7">
        <v>7.3142606590000003</v>
      </c>
      <c r="L7">
        <v>7.2422574720000004</v>
      </c>
      <c r="M7">
        <v>7.3629504969999999</v>
      </c>
      <c r="N7">
        <v>7.2305900149999998</v>
      </c>
      <c r="O7">
        <v>7.2256269450000001</v>
      </c>
      <c r="P7">
        <v>7.361635315</v>
      </c>
      <c r="Q7">
        <v>7.1872492259999996</v>
      </c>
      <c r="R7">
        <v>7.2110761510000003</v>
      </c>
      <c r="S7">
        <v>7.3025610790000002</v>
      </c>
      <c r="T7">
        <v>7.3067222279999999</v>
      </c>
      <c r="U7">
        <v>7.3372817809999997</v>
      </c>
      <c r="V7">
        <v>7.4351194219999996</v>
      </c>
      <c r="W7">
        <v>7.2748497590000003</v>
      </c>
      <c r="X7">
        <v>7.3012472559999999</v>
      </c>
      <c r="Y7">
        <v>7.2974207599999996</v>
      </c>
      <c r="AB7">
        <v>7.3596291750000002</v>
      </c>
      <c r="AC7">
        <v>7.4583188600000003</v>
      </c>
      <c r="AD7">
        <v>7.3016165119999998</v>
      </c>
      <c r="AE7">
        <v>7.4562247719999997</v>
      </c>
      <c r="AF7">
        <v>7.3398803560000001</v>
      </c>
      <c r="AH7">
        <v>7.48874627</v>
      </c>
      <c r="AI7">
        <v>7.4217249069999998</v>
      </c>
      <c r="AJ7">
        <v>7.2829731080000002</v>
      </c>
      <c r="AK7">
        <v>7.2928826000000004</v>
      </c>
      <c r="AL7">
        <v>7.2747202829999997</v>
      </c>
      <c r="AM7">
        <v>7.2748611380000003</v>
      </c>
      <c r="AN7">
        <v>7.5936694009999997</v>
      </c>
      <c r="AO7">
        <v>7.5059731320000003</v>
      </c>
      <c r="AP7">
        <v>7.2109923379999996</v>
      </c>
      <c r="AQ7">
        <v>7.2866491099999999</v>
      </c>
      <c r="AS7">
        <v>7.1848888129999997</v>
      </c>
      <c r="AT7">
        <v>7.1997801519999998</v>
      </c>
      <c r="AU7">
        <v>7.2518723139999999</v>
      </c>
      <c r="AV7">
        <v>7.3717435790000003</v>
      </c>
      <c r="AW7">
        <v>7.2420434800000004</v>
      </c>
      <c r="AY7">
        <v>7.427519438</v>
      </c>
      <c r="AZ7">
        <v>7.3993655169999997</v>
      </c>
      <c r="BA7">
        <v>7.4162193939999996</v>
      </c>
      <c r="BB7">
        <v>7.4280891550000003</v>
      </c>
      <c r="BC7">
        <v>7.1926610379999998</v>
      </c>
      <c r="BD7">
        <v>7.1492334450000001</v>
      </c>
      <c r="BE7">
        <v>7.4049786370000001</v>
      </c>
      <c r="BF7">
        <v>7.2550751509999998</v>
      </c>
      <c r="BG7">
        <v>7.7187986540000004</v>
      </c>
      <c r="BH7">
        <v>8.01251669</v>
      </c>
      <c r="BI7">
        <v>7.1481999869999999</v>
      </c>
      <c r="BL7">
        <v>7.346944315</v>
      </c>
      <c r="BM7">
        <v>7.1848888129999997</v>
      </c>
      <c r="BN7">
        <v>7.2260168079999998</v>
      </c>
      <c r="BO7">
        <v>7.3431083170000004</v>
      </c>
      <c r="BP7">
        <v>7.4562640289999997</v>
      </c>
      <c r="BQ7">
        <v>7.3399527649999996</v>
      </c>
      <c r="BR7">
        <v>7.4887973150000002</v>
      </c>
      <c r="BT7">
        <v>7.4217249069999998</v>
      </c>
      <c r="BU7">
        <v>7.3311806129999999</v>
      </c>
      <c r="BV7">
        <v>7.2829889489999999</v>
      </c>
      <c r="BW7">
        <v>7.4085746090000004</v>
      </c>
      <c r="BX7">
        <v>7.2929472400000002</v>
      </c>
      <c r="BY7">
        <v>7.3136555430000003</v>
      </c>
      <c r="BZ7">
        <v>7.2748611040000002</v>
      </c>
      <c r="CA7">
        <v>7.3378187520000004</v>
      </c>
      <c r="CB7">
        <v>7.3200221660000002</v>
      </c>
      <c r="CC7">
        <v>7.5039444639999999</v>
      </c>
      <c r="CD7">
        <v>7.2136168940000003</v>
      </c>
      <c r="CE7">
        <v>7.408891573</v>
      </c>
      <c r="CF7">
        <v>7.3206335339999997</v>
      </c>
      <c r="CG7">
        <v>7.2518506059999996</v>
      </c>
      <c r="CH7">
        <v>7.427519438</v>
      </c>
      <c r="CI7">
        <v>7.3994303050000001</v>
      </c>
      <c r="CJ7">
        <v>7.4162193939999996</v>
      </c>
      <c r="CK7">
        <v>4</v>
      </c>
      <c r="CL7">
        <f t="shared" si="4"/>
        <v>7.3404921513815786</v>
      </c>
      <c r="CM7">
        <f t="shared" si="2"/>
        <v>0.13328308851610851</v>
      </c>
      <c r="CN7">
        <f t="shared" si="3"/>
        <v>1.5288618782229037E-2</v>
      </c>
    </row>
    <row r="8" spans="1:97" x14ac:dyDescent="0.25">
      <c r="A8">
        <v>5</v>
      </c>
      <c r="D8">
        <v>7.089591499</v>
      </c>
      <c r="F8">
        <v>7.2274826179999998</v>
      </c>
      <c r="G8">
        <v>7.2274826179999998</v>
      </c>
      <c r="H8">
        <v>7.4205342710000002</v>
      </c>
      <c r="I8">
        <v>7.4320461260000004</v>
      </c>
      <c r="J8">
        <v>7.3895271249999999</v>
      </c>
      <c r="K8">
        <v>7.2127340880000004</v>
      </c>
      <c r="L8">
        <v>7.2573061059999997</v>
      </c>
      <c r="M8">
        <v>7.3721671799999999</v>
      </c>
      <c r="N8">
        <v>7.2462051599999997</v>
      </c>
      <c r="O8">
        <v>7.230925837</v>
      </c>
      <c r="P8">
        <v>7.3856601299999998</v>
      </c>
      <c r="Q8">
        <v>7.2027601380000004</v>
      </c>
      <c r="R8">
        <v>7.2485293710000001</v>
      </c>
      <c r="S8">
        <v>7.2213916569999999</v>
      </c>
      <c r="T8">
        <v>7.2817805990000002</v>
      </c>
      <c r="U8">
        <v>7.3957432059999997</v>
      </c>
      <c r="V8">
        <v>7.4347971260000003</v>
      </c>
      <c r="W8">
        <v>7.3427257470000002</v>
      </c>
      <c r="Y8">
        <v>7.3355291889999998</v>
      </c>
      <c r="AB8">
        <v>7.3899649419999998</v>
      </c>
      <c r="AD8">
        <v>7.2891286710000003</v>
      </c>
      <c r="AE8">
        <v>7.3959049529999996</v>
      </c>
      <c r="AF8">
        <v>7.3804760119999999</v>
      </c>
      <c r="AH8">
        <v>7.4542445260000001</v>
      </c>
      <c r="AI8">
        <v>7.4474334559999997</v>
      </c>
      <c r="AJ8">
        <v>7.287235387</v>
      </c>
      <c r="AK8">
        <v>7.317170043</v>
      </c>
      <c r="AL8">
        <v>7.3430272639999998</v>
      </c>
      <c r="AM8">
        <v>7.3285972020000001</v>
      </c>
      <c r="AN8">
        <v>7.580444441</v>
      </c>
      <c r="AO8">
        <v>7.5592768919999997</v>
      </c>
      <c r="AQ8">
        <v>7.2780097010000002</v>
      </c>
      <c r="AS8">
        <v>7.1945527140000003</v>
      </c>
      <c r="AT8">
        <v>7.2088472379999997</v>
      </c>
      <c r="AU8">
        <v>7.2998693799999996</v>
      </c>
      <c r="AV8">
        <v>7.3792771420000003</v>
      </c>
      <c r="AW8">
        <v>7.2011364889999996</v>
      </c>
      <c r="AY8">
        <v>7.4505776920000004</v>
      </c>
      <c r="AZ8">
        <v>7.4266424369999999</v>
      </c>
      <c r="BA8">
        <v>7.4191221589999996</v>
      </c>
      <c r="BB8">
        <v>7.4690936109999999</v>
      </c>
      <c r="BC8">
        <v>7.183160161</v>
      </c>
      <c r="BE8">
        <v>7.2765711629999998</v>
      </c>
      <c r="BF8">
        <v>7.2520435399999998</v>
      </c>
      <c r="BH8">
        <v>8.0622721740000003</v>
      </c>
      <c r="BI8">
        <v>7.1498777709999999</v>
      </c>
      <c r="BL8">
        <v>7.3716777850000001</v>
      </c>
      <c r="BM8">
        <v>7.1945527140000003</v>
      </c>
      <c r="BN8">
        <v>7.2819549300000004</v>
      </c>
      <c r="BO8">
        <v>7.3592138540000001</v>
      </c>
      <c r="BP8">
        <v>7.3959049529999996</v>
      </c>
      <c r="BQ8">
        <v>7.3805332870000004</v>
      </c>
      <c r="BR8">
        <v>7.4542445260000001</v>
      </c>
      <c r="BT8">
        <v>7.4474334559999997</v>
      </c>
      <c r="BU8">
        <v>7.3046749350000004</v>
      </c>
      <c r="BV8">
        <v>7.2872528220000001</v>
      </c>
      <c r="BW8">
        <v>7.4439359960000004</v>
      </c>
      <c r="BX8">
        <v>7.3173861850000002</v>
      </c>
      <c r="BY8">
        <v>7.2959194580000002</v>
      </c>
      <c r="BZ8">
        <v>7.343091663</v>
      </c>
      <c r="CA8">
        <v>7.3658360920000003</v>
      </c>
      <c r="CB8">
        <v>7.4145676009999999</v>
      </c>
      <c r="CC8">
        <v>7.5564695049999999</v>
      </c>
      <c r="CD8">
        <v>7.2204251890000002</v>
      </c>
      <c r="CE8">
        <v>7.3919255210000001</v>
      </c>
      <c r="CF8">
        <v>7.2698603129999997</v>
      </c>
      <c r="CG8">
        <v>7.2999111550000002</v>
      </c>
      <c r="CH8">
        <v>7.4505776920000004</v>
      </c>
      <c r="CI8">
        <v>7.426658217</v>
      </c>
      <c r="CJ8">
        <v>7.4191221589999996</v>
      </c>
      <c r="CK8">
        <v>5</v>
      </c>
      <c r="CL8">
        <f t="shared" si="4"/>
        <v>7.347493055774649</v>
      </c>
      <c r="CM8">
        <f t="shared" si="2"/>
        <v>0.13231450243970655</v>
      </c>
      <c r="CN8">
        <f t="shared" si="3"/>
        <v>1.5702842460848958E-2</v>
      </c>
    </row>
    <row r="9" spans="1:97" x14ac:dyDescent="0.25">
      <c r="A9">
        <v>6</v>
      </c>
      <c r="D9">
        <v>7.1540107060000002</v>
      </c>
      <c r="F9">
        <v>7.2719316760000003</v>
      </c>
      <c r="G9">
        <v>7.2719316760000003</v>
      </c>
      <c r="H9">
        <v>7.4384071770000002</v>
      </c>
      <c r="I9">
        <v>7.4762713090000004</v>
      </c>
      <c r="K9">
        <v>7.2490723250000002</v>
      </c>
      <c r="L9">
        <v>7.2348204880000004</v>
      </c>
      <c r="M9">
        <v>7.3265989999999999</v>
      </c>
      <c r="N9">
        <v>7.2650752040000004</v>
      </c>
      <c r="O9">
        <v>7.278755565</v>
      </c>
      <c r="P9">
        <v>7.4288832410000003</v>
      </c>
      <c r="Q9">
        <v>7.1689581049999997</v>
      </c>
      <c r="R9">
        <v>7.2745607200000002</v>
      </c>
      <c r="S9">
        <v>7.1898555489999998</v>
      </c>
      <c r="T9">
        <v>7.3072833709999996</v>
      </c>
      <c r="U9">
        <v>7.4117514309999999</v>
      </c>
      <c r="V9">
        <v>7.4205249000000002</v>
      </c>
      <c r="W9">
        <v>7.2995180709999996</v>
      </c>
      <c r="AD9">
        <v>7.2479920470000003</v>
      </c>
      <c r="AF9">
        <v>7.3388069820000004</v>
      </c>
      <c r="AI9">
        <v>7.471774709</v>
      </c>
      <c r="AJ9">
        <v>7.3149791400000002</v>
      </c>
      <c r="AK9">
        <v>7.2827124120000004</v>
      </c>
      <c r="AL9">
        <v>7.3389648090000001</v>
      </c>
      <c r="AM9">
        <v>7.5127763520000004</v>
      </c>
      <c r="AN9">
        <v>7.5552388949999996</v>
      </c>
      <c r="AO9">
        <v>7.5873437030000002</v>
      </c>
      <c r="AS9">
        <v>7.2355792440000002</v>
      </c>
      <c r="AT9">
        <v>7.2244190760000002</v>
      </c>
      <c r="AU9">
        <v>7.3151126829999997</v>
      </c>
      <c r="AV9">
        <v>7.3609059910000001</v>
      </c>
      <c r="AW9">
        <v>7.3034057150000002</v>
      </c>
      <c r="AY9">
        <v>7.4410164610000002</v>
      </c>
      <c r="AZ9">
        <v>7.4163445689999996</v>
      </c>
      <c r="BA9">
        <v>7.4587778760000001</v>
      </c>
      <c r="BB9">
        <v>7.2939472600000004</v>
      </c>
      <c r="BE9">
        <v>7.2928304549999998</v>
      </c>
      <c r="BF9">
        <v>7.2610701789999998</v>
      </c>
      <c r="BH9">
        <v>7.9865669390000003</v>
      </c>
      <c r="BI9">
        <v>7.1374352849999996</v>
      </c>
      <c r="BL9">
        <v>7.444456583</v>
      </c>
      <c r="BM9">
        <v>7.2355792440000002</v>
      </c>
      <c r="BN9">
        <v>7.2885047570000001</v>
      </c>
      <c r="BO9">
        <v>7.4092221370000004</v>
      </c>
      <c r="BQ9">
        <v>7.3388860859999996</v>
      </c>
      <c r="BR9">
        <v>7.5122283830000001</v>
      </c>
      <c r="BT9">
        <v>7.471774709</v>
      </c>
      <c r="BU9">
        <v>7.3209110989999999</v>
      </c>
      <c r="BV9">
        <v>7.3149791400000002</v>
      </c>
      <c r="BW9">
        <v>7.3984972359999999</v>
      </c>
      <c r="BX9">
        <v>7.282872298</v>
      </c>
      <c r="BY9">
        <v>7.32769943</v>
      </c>
      <c r="BZ9">
        <v>7.3390340810000003</v>
      </c>
      <c r="CA9">
        <v>7.3508943760000003</v>
      </c>
      <c r="CB9">
        <v>7.4144036270000004</v>
      </c>
      <c r="CC9">
        <v>7.5873583299999998</v>
      </c>
      <c r="CD9">
        <v>7.2734750479999999</v>
      </c>
      <c r="CE9">
        <v>7.3283471850000002</v>
      </c>
      <c r="CG9">
        <v>7.3151500890000003</v>
      </c>
      <c r="CH9">
        <v>7.4410164610000002</v>
      </c>
      <c r="CI9">
        <v>7.4163716449999999</v>
      </c>
      <c r="CJ9">
        <v>7.4587778760000001</v>
      </c>
      <c r="CK9">
        <v>6</v>
      </c>
      <c r="CL9">
        <f t="shared" si="4"/>
        <v>7.3567201792903214</v>
      </c>
      <c r="CM9">
        <f t="shared" si="2"/>
        <v>0.13068619945774954</v>
      </c>
      <c r="CN9">
        <f t="shared" si="3"/>
        <v>1.6597163928306419E-2</v>
      </c>
    </row>
    <row r="10" spans="1:97" x14ac:dyDescent="0.25">
      <c r="A10">
        <v>7</v>
      </c>
      <c r="D10">
        <v>7.142593143</v>
      </c>
      <c r="F10">
        <v>7.234280697</v>
      </c>
      <c r="G10">
        <v>7.234280697</v>
      </c>
      <c r="I10">
        <v>7.440164362</v>
      </c>
      <c r="K10">
        <v>7.2526389489999996</v>
      </c>
      <c r="L10">
        <v>7.2260011100000003</v>
      </c>
      <c r="M10">
        <v>7.336087279</v>
      </c>
      <c r="N10">
        <v>7.2782145050000002</v>
      </c>
      <c r="O10">
        <v>7.3019026780000003</v>
      </c>
      <c r="P10">
        <v>7.4122610260000004</v>
      </c>
      <c r="Q10">
        <v>7.2696187370000001</v>
      </c>
      <c r="R10">
        <v>7.2219249850000002</v>
      </c>
      <c r="T10">
        <v>7.1022249249999998</v>
      </c>
      <c r="U10">
        <v>7.4315646219999998</v>
      </c>
      <c r="V10">
        <v>7.4180304960000001</v>
      </c>
      <c r="W10">
        <v>7.3415371709999997</v>
      </c>
      <c r="AD10">
        <v>7.2882048839999998</v>
      </c>
      <c r="AF10">
        <v>7.2749159680000002</v>
      </c>
      <c r="AJ10">
        <v>7.2729122960000003</v>
      </c>
      <c r="AK10">
        <v>7.2763075720000003</v>
      </c>
      <c r="AM10">
        <v>7.4968677489999997</v>
      </c>
      <c r="AN10">
        <v>7.5490876150000004</v>
      </c>
      <c r="AO10">
        <v>7.5783217369999996</v>
      </c>
      <c r="AT10">
        <v>7.212486889</v>
      </c>
      <c r="AU10">
        <v>7.3346332790000002</v>
      </c>
      <c r="AV10">
        <v>7.3032821849999996</v>
      </c>
      <c r="AW10">
        <v>7.3119850079999997</v>
      </c>
      <c r="AY10">
        <v>7.4403156629999998</v>
      </c>
      <c r="AZ10">
        <v>7.4659230909999996</v>
      </c>
      <c r="BA10">
        <v>7.5192026099999998</v>
      </c>
      <c r="BB10">
        <v>7.3616805159999998</v>
      </c>
      <c r="BE10">
        <v>7.3404871329999999</v>
      </c>
      <c r="BF10">
        <v>7.2065339570000004</v>
      </c>
      <c r="BH10">
        <v>7.9789722190000001</v>
      </c>
      <c r="BI10">
        <v>7.3000000319999998</v>
      </c>
      <c r="BN10">
        <v>7.2941945309999996</v>
      </c>
      <c r="BO10">
        <v>7.3915721669999996</v>
      </c>
      <c r="BQ10">
        <v>7.2753138079999999</v>
      </c>
      <c r="BU10">
        <v>7.3092749680000004</v>
      </c>
      <c r="BV10">
        <v>7.2730202009999996</v>
      </c>
      <c r="BW10">
        <v>7.4322471930000003</v>
      </c>
      <c r="BX10">
        <v>7.2763758840000001</v>
      </c>
      <c r="BY10">
        <v>7.3339695039999997</v>
      </c>
      <c r="CA10">
        <v>7.3650542760000004</v>
      </c>
      <c r="CB10">
        <v>7.4142007010000004</v>
      </c>
      <c r="CC10">
        <v>7.5783388699999996</v>
      </c>
      <c r="CD10">
        <v>7.3078738679999997</v>
      </c>
      <c r="CE10">
        <v>7.3584277800000004</v>
      </c>
      <c r="CG10">
        <v>7.3346332790000002</v>
      </c>
      <c r="CH10">
        <v>7.4403060979999998</v>
      </c>
      <c r="CI10">
        <v>7.4659737960000001</v>
      </c>
      <c r="CJ10">
        <v>7.5191968300000003</v>
      </c>
      <c r="CK10">
        <v>7</v>
      </c>
      <c r="CL10">
        <f t="shared" si="4"/>
        <v>7.356258068057695</v>
      </c>
      <c r="CM10">
        <f t="shared" si="2"/>
        <v>0.13814044184517837</v>
      </c>
      <c r="CN10">
        <f t="shared" si="3"/>
        <v>1.9156632549540076E-2</v>
      </c>
    </row>
    <row r="11" spans="1:97" x14ac:dyDescent="0.25">
      <c r="A11">
        <v>8</v>
      </c>
      <c r="D11">
        <v>7.1469176970000001</v>
      </c>
      <c r="F11">
        <v>7.2336362000000003</v>
      </c>
      <c r="G11">
        <v>7.2336362000000003</v>
      </c>
      <c r="I11">
        <v>7.3698022219999997</v>
      </c>
      <c r="K11">
        <v>7.2363778959999996</v>
      </c>
      <c r="L11">
        <v>7.2251266220000003</v>
      </c>
      <c r="M11">
        <v>7.3048692969999998</v>
      </c>
      <c r="N11">
        <v>7.2669947400000003</v>
      </c>
      <c r="O11">
        <v>7.3331415050000004</v>
      </c>
      <c r="P11">
        <v>7.3690382860000003</v>
      </c>
      <c r="Q11">
        <v>7.1689298700000004</v>
      </c>
      <c r="R11">
        <v>7.1925707880000003</v>
      </c>
      <c r="T11">
        <v>7.1273667139999999</v>
      </c>
      <c r="U11">
        <v>7.4161866940000003</v>
      </c>
      <c r="V11">
        <v>7.4044666069999998</v>
      </c>
      <c r="W11">
        <v>7.3168021650000004</v>
      </c>
      <c r="AD11">
        <v>7.2715233489999997</v>
      </c>
      <c r="AJ11">
        <v>7.3302808239999999</v>
      </c>
      <c r="AM11">
        <v>7.4011256029999997</v>
      </c>
      <c r="AN11">
        <v>7.5288386589999998</v>
      </c>
      <c r="AO11">
        <v>7.5637861590000002</v>
      </c>
      <c r="AT11">
        <v>7.211826512</v>
      </c>
      <c r="AW11">
        <v>7.3085499519999999</v>
      </c>
      <c r="AZ11">
        <v>7.5888992850000001</v>
      </c>
      <c r="BA11">
        <v>7.5514382209999997</v>
      </c>
      <c r="BB11">
        <v>7.3316893480000003</v>
      </c>
      <c r="BE11">
        <v>7.2301420399999996</v>
      </c>
      <c r="BF11">
        <v>7.2954474940000003</v>
      </c>
      <c r="BH11">
        <v>7.9774666290000003</v>
      </c>
      <c r="BN11">
        <v>7.2563573190000001</v>
      </c>
      <c r="BO11">
        <v>7.3490221680000003</v>
      </c>
      <c r="BU11">
        <v>7.2666707949999996</v>
      </c>
      <c r="BV11">
        <v>7.3302808239999999</v>
      </c>
      <c r="BW11">
        <v>7.4209473499999996</v>
      </c>
      <c r="BY11">
        <v>7.3092750479999999</v>
      </c>
      <c r="CA11">
        <v>7.3308837020000004</v>
      </c>
      <c r="CB11">
        <v>7.4137731689999997</v>
      </c>
      <c r="CC11">
        <v>7.5637861590000002</v>
      </c>
      <c r="CD11">
        <v>7.2427750499999997</v>
      </c>
      <c r="CE11">
        <v>7.3358294280000003</v>
      </c>
      <c r="CI11">
        <v>7.5888992850000001</v>
      </c>
      <c r="CJ11">
        <v>7.5516172099999999</v>
      </c>
      <c r="CK11">
        <v>8</v>
      </c>
      <c r="CL11">
        <f t="shared" si="4"/>
        <v>7.3546903591666686</v>
      </c>
      <c r="CM11">
        <f t="shared" si="2"/>
        <v>0.15776691332486814</v>
      </c>
      <c r="CN11">
        <f t="shared" si="3"/>
        <v>2.4343963239206151E-2</v>
      </c>
    </row>
    <row r="12" spans="1:97" x14ac:dyDescent="0.25">
      <c r="A12">
        <v>9</v>
      </c>
      <c r="D12">
        <v>7.0718176489999998</v>
      </c>
      <c r="F12">
        <v>7.2551418500000002</v>
      </c>
      <c r="G12">
        <v>7.2551418500000002</v>
      </c>
      <c r="I12">
        <v>7.3804984200000003</v>
      </c>
      <c r="K12">
        <v>7.276920982</v>
      </c>
      <c r="L12">
        <v>7.2115374579999996</v>
      </c>
      <c r="M12">
        <v>7.3285492720000001</v>
      </c>
      <c r="N12">
        <v>7.2658106760000001</v>
      </c>
      <c r="O12">
        <v>7.3369073079999998</v>
      </c>
      <c r="P12">
        <v>7.3546985219999996</v>
      </c>
      <c r="Q12">
        <v>7.2132641030000002</v>
      </c>
      <c r="R12">
        <v>7.196008816</v>
      </c>
      <c r="T12">
        <v>7.0554597489999997</v>
      </c>
      <c r="U12">
        <v>7.3618137560000001</v>
      </c>
      <c r="V12">
        <v>7.4322824900000004</v>
      </c>
      <c r="AM12">
        <v>7.4741219269999997</v>
      </c>
      <c r="AN12">
        <v>7.5315780060000002</v>
      </c>
      <c r="AO12">
        <v>7.5422837349999998</v>
      </c>
      <c r="AT12">
        <v>7.2460028760000004</v>
      </c>
      <c r="AW12">
        <v>7.2545089699999998</v>
      </c>
      <c r="BA12">
        <v>7.7980900259999997</v>
      </c>
      <c r="BB12">
        <v>7.3377298990000002</v>
      </c>
      <c r="BE12">
        <v>7.1871729809999998</v>
      </c>
      <c r="BH12">
        <v>8.0120610469999995</v>
      </c>
      <c r="BN12">
        <v>7.2331176179999996</v>
      </c>
      <c r="BO12">
        <v>7.3832733370000003</v>
      </c>
      <c r="BY12">
        <v>7.3021195150000002</v>
      </c>
      <c r="CA12">
        <v>7.3133805130000002</v>
      </c>
      <c r="CB12">
        <v>7.4354093280000004</v>
      </c>
      <c r="CC12">
        <v>7.5422837349999998</v>
      </c>
      <c r="CD12">
        <v>7.2696661130000004</v>
      </c>
      <c r="CE12">
        <v>7.3089861349999996</v>
      </c>
      <c r="CJ12">
        <v>7.7981086099999999</v>
      </c>
      <c r="CK12">
        <v>9</v>
      </c>
      <c r="CL12">
        <f t="shared" si="4"/>
        <v>7.3625984021818178</v>
      </c>
      <c r="CM12">
        <f t="shared" si="2"/>
        <v>0.20171647675226168</v>
      </c>
      <c r="CN12">
        <f t="shared" si="3"/>
        <v>3.5114331440675731E-2</v>
      </c>
    </row>
    <row r="13" spans="1:97" x14ac:dyDescent="0.25">
      <c r="A13">
        <v>10</v>
      </c>
      <c r="D13">
        <v>7.0853891439999996</v>
      </c>
      <c r="F13">
        <v>7.2650607210000002</v>
      </c>
      <c r="G13">
        <v>7.2650607210000002</v>
      </c>
      <c r="I13">
        <v>7.4019275149999997</v>
      </c>
      <c r="K13">
        <v>7.2457544609999998</v>
      </c>
      <c r="L13">
        <v>7.2142697919999996</v>
      </c>
      <c r="M13">
        <v>7.3142206339999998</v>
      </c>
      <c r="N13">
        <v>7.2471457790000002</v>
      </c>
      <c r="P13">
        <v>7.2882165309999998</v>
      </c>
      <c r="R13">
        <v>7.201666167</v>
      </c>
      <c r="AM13">
        <v>7.4418156240000002</v>
      </c>
      <c r="AT13">
        <v>7.2495151509999998</v>
      </c>
      <c r="AW13">
        <v>7.3581401050000004</v>
      </c>
      <c r="BB13">
        <v>7.3307694090000002</v>
      </c>
      <c r="BE13">
        <v>7.2276695279999998</v>
      </c>
      <c r="BH13">
        <v>7.99880529</v>
      </c>
      <c r="BN13">
        <v>7.2909058519999999</v>
      </c>
      <c r="BY13">
        <v>7.2677111859999997</v>
      </c>
      <c r="CA13">
        <v>7.3440110839999999</v>
      </c>
      <c r="CE13">
        <v>7.2987666710000001</v>
      </c>
      <c r="CK13">
        <v>10</v>
      </c>
      <c r="CL13">
        <f t="shared" si="4"/>
        <v>7.3168410682499996</v>
      </c>
      <c r="CM13">
        <f t="shared" si="2"/>
        <v>0.17769344764544898</v>
      </c>
      <c r="CN13">
        <f t="shared" si="3"/>
        <v>3.9733462809152381E-2</v>
      </c>
      <c r="CS13" t="s">
        <v>6</v>
      </c>
    </row>
    <row r="14" spans="1:97" x14ac:dyDescent="0.25">
      <c r="A14">
        <v>11</v>
      </c>
      <c r="D14">
        <v>7.0858092130000001</v>
      </c>
      <c r="I14">
        <v>7.4007814429999996</v>
      </c>
      <c r="K14">
        <v>7.2115615899999996</v>
      </c>
      <c r="M14">
        <v>7.3015337909999998</v>
      </c>
      <c r="N14">
        <v>7.212956256</v>
      </c>
      <c r="P14">
        <v>7.2844683029999997</v>
      </c>
      <c r="R14">
        <v>7.2076842640000001</v>
      </c>
      <c r="AM14">
        <v>7.4117923379999997</v>
      </c>
      <c r="AW14">
        <v>7.325724525</v>
      </c>
      <c r="BB14">
        <v>7.2768139200000004</v>
      </c>
      <c r="BE14">
        <v>7.2878983799999997</v>
      </c>
      <c r="BH14">
        <v>7.9991447979999997</v>
      </c>
      <c r="BN14">
        <v>7.295634723</v>
      </c>
      <c r="BY14">
        <v>7.287552807</v>
      </c>
      <c r="CA14">
        <v>7.3389416289999998</v>
      </c>
      <c r="CE14">
        <v>7.2820889360000001</v>
      </c>
      <c r="CK14">
        <v>11</v>
      </c>
      <c r="CL14">
        <f t="shared" si="4"/>
        <v>7.3256491822500003</v>
      </c>
      <c r="CM14">
        <f t="shared" si="2"/>
        <v>0.19567494571430544</v>
      </c>
      <c r="CN14">
        <f t="shared" si="3"/>
        <v>4.8918736428576359E-2</v>
      </c>
    </row>
    <row r="15" spans="1:97" x14ac:dyDescent="0.25">
      <c r="A15">
        <v>12</v>
      </c>
      <c r="D15">
        <v>7.2505391789999996</v>
      </c>
      <c r="I15">
        <v>7.2649457240000004</v>
      </c>
      <c r="K15">
        <v>7.2048749110000001</v>
      </c>
      <c r="N15">
        <v>7.2399139879999996</v>
      </c>
      <c r="P15">
        <v>7.238823386</v>
      </c>
      <c r="R15">
        <v>7.1280561499999999</v>
      </c>
      <c r="AW15">
        <v>7.2821323830000004</v>
      </c>
      <c r="BB15">
        <v>7.2770917859999997</v>
      </c>
      <c r="BE15">
        <v>7.276923193</v>
      </c>
      <c r="BH15">
        <v>8.0042781810000001</v>
      </c>
      <c r="BY15">
        <v>7.285050043</v>
      </c>
      <c r="CA15">
        <v>7.3344028049999999</v>
      </c>
      <c r="CE15">
        <v>7.4165215599999996</v>
      </c>
      <c r="CK15">
        <v>12</v>
      </c>
      <c r="CL15">
        <f t="shared" si="4"/>
        <v>7.323350253000001</v>
      </c>
      <c r="CM15">
        <f t="shared" si="2"/>
        <v>0.2150430513955891</v>
      </c>
      <c r="CN15">
        <f t="shared" si="3"/>
        <v>5.9642211403002653E-2</v>
      </c>
    </row>
    <row r="16" spans="1:97" x14ac:dyDescent="0.25">
      <c r="A16">
        <v>13</v>
      </c>
      <c r="D16">
        <v>7.2580934920000004</v>
      </c>
      <c r="I16">
        <v>7.3129373019999999</v>
      </c>
      <c r="K16">
        <v>7.21845157</v>
      </c>
      <c r="P16">
        <v>7.2035745159999998</v>
      </c>
      <c r="R16">
        <v>7.1802900120000004</v>
      </c>
      <c r="AW16">
        <v>7.2970892530000002</v>
      </c>
      <c r="BB16">
        <v>7.2853668809999999</v>
      </c>
      <c r="BE16">
        <v>7.2918840530000004</v>
      </c>
      <c r="BH16">
        <v>7.9921804290000003</v>
      </c>
      <c r="BY16">
        <v>7.2737139390000003</v>
      </c>
      <c r="CA16">
        <v>7.322489504</v>
      </c>
      <c r="CK16">
        <v>13</v>
      </c>
      <c r="CL16">
        <f t="shared" si="4"/>
        <v>7.3305519046363647</v>
      </c>
      <c r="CM16">
        <f t="shared" si="2"/>
        <v>0.22417256154043641</v>
      </c>
      <c r="CN16">
        <f t="shared" si="3"/>
        <v>6.7590570447498444E-2</v>
      </c>
    </row>
    <row r="17" spans="1:92" x14ac:dyDescent="0.25">
      <c r="A17">
        <v>14</v>
      </c>
      <c r="D17">
        <v>7.2172442710000002</v>
      </c>
      <c r="K17">
        <v>7.2393488619999999</v>
      </c>
      <c r="P17">
        <v>7.195020908</v>
      </c>
      <c r="AW17">
        <v>7.2157087190000002</v>
      </c>
      <c r="BB17">
        <v>7.3025272660000002</v>
      </c>
      <c r="BE17">
        <v>7.291138857</v>
      </c>
      <c r="BH17">
        <v>7.9577166430000004</v>
      </c>
      <c r="BY17">
        <v>7.2760465779999999</v>
      </c>
      <c r="CA17">
        <v>7.3253333639999996</v>
      </c>
      <c r="CK17">
        <v>14</v>
      </c>
      <c r="CL17">
        <f t="shared" si="4"/>
        <v>7.3355650519999989</v>
      </c>
      <c r="CM17">
        <f t="shared" si="2"/>
        <v>0.23747644090621789</v>
      </c>
      <c r="CN17">
        <f t="shared" si="3"/>
        <v>7.9158813635405958E-2</v>
      </c>
    </row>
    <row r="18" spans="1:92" x14ac:dyDescent="0.25">
      <c r="A18">
        <v>15</v>
      </c>
      <c r="D18">
        <v>7.208885381</v>
      </c>
      <c r="K18">
        <v>7.1738496310000004</v>
      </c>
      <c r="P18">
        <v>7.1484982060000002</v>
      </c>
      <c r="AW18">
        <v>7.1610841609999998</v>
      </c>
      <c r="BE18">
        <v>7.3059398270000004</v>
      </c>
      <c r="BH18">
        <v>7.9974005899999998</v>
      </c>
      <c r="CA18">
        <v>7.3079861739999998</v>
      </c>
      <c r="CK18">
        <v>15</v>
      </c>
      <c r="CL18">
        <f t="shared" si="4"/>
        <v>7.3290919957142862</v>
      </c>
      <c r="CM18">
        <f t="shared" si="2"/>
        <v>0.30194050938732381</v>
      </c>
      <c r="CN18">
        <f t="shared" si="3"/>
        <v>0.11412278551071746</v>
      </c>
    </row>
    <row r="19" spans="1:92" x14ac:dyDescent="0.25">
      <c r="A19">
        <v>16</v>
      </c>
      <c r="D19">
        <v>7.1946649049999998</v>
      </c>
      <c r="K19">
        <v>7.2006331399999999</v>
      </c>
      <c r="P19">
        <v>7.1450138399999998</v>
      </c>
      <c r="AW19">
        <v>7.341772314</v>
      </c>
      <c r="BH19">
        <v>8.0075289590000001</v>
      </c>
      <c r="CA19">
        <v>7.2820923019999997</v>
      </c>
      <c r="CK19">
        <v>16</v>
      </c>
      <c r="CL19">
        <f t="shared" si="4"/>
        <v>7.3619509100000009</v>
      </c>
      <c r="CM19">
        <f t="shared" si="2"/>
        <v>0.32392138338976428</v>
      </c>
      <c r="CN19">
        <f t="shared" si="3"/>
        <v>0.13224035101356083</v>
      </c>
    </row>
    <row r="20" spans="1:92" x14ac:dyDescent="0.25">
      <c r="A20">
        <v>17</v>
      </c>
      <c r="D20">
        <v>7.1658504110000001</v>
      </c>
      <c r="K20">
        <v>7.217905376</v>
      </c>
      <c r="P20">
        <v>7.229347132</v>
      </c>
      <c r="AW20">
        <v>7.3868745909999998</v>
      </c>
      <c r="CA20">
        <v>7.287525102</v>
      </c>
      <c r="CK20">
        <v>17</v>
      </c>
      <c r="CL20">
        <f t="shared" si="4"/>
        <v>7.2575005223999991</v>
      </c>
      <c r="CM20">
        <f t="shared" si="2"/>
        <v>8.4260395405194408E-2</v>
      </c>
      <c r="CN20">
        <f t="shared" si="3"/>
        <v>3.7682394387405123E-2</v>
      </c>
    </row>
    <row r="21" spans="1:92" x14ac:dyDescent="0.25">
      <c r="A21">
        <v>18</v>
      </c>
      <c r="D21">
        <v>7.2392053470000004</v>
      </c>
      <c r="K21">
        <v>7.2118873270000003</v>
      </c>
      <c r="AW21">
        <v>7.3388050829999996</v>
      </c>
      <c r="CA21">
        <v>7.3196711099999998</v>
      </c>
      <c r="CK21">
        <v>18</v>
      </c>
      <c r="CL21">
        <f t="shared" si="4"/>
        <v>7.27739221675</v>
      </c>
      <c r="CM21">
        <f t="shared" si="2"/>
        <v>6.1395365074648912E-2</v>
      </c>
      <c r="CN21">
        <f t="shared" si="3"/>
        <v>3.0697682537324456E-2</v>
      </c>
    </row>
    <row r="22" spans="1:92" x14ac:dyDescent="0.25">
      <c r="A22">
        <v>19</v>
      </c>
      <c r="AW22">
        <v>7.2880407060000003</v>
      </c>
      <c r="CK22">
        <v>19</v>
      </c>
      <c r="CL22">
        <f t="shared" si="4"/>
        <v>7.2880407060000003</v>
      </c>
      <c r="CM22">
        <v>0</v>
      </c>
      <c r="CN22">
        <v>0</v>
      </c>
    </row>
    <row r="23" spans="1:92" x14ac:dyDescent="0.25">
      <c r="A23">
        <v>20</v>
      </c>
      <c r="CK23">
        <v>20</v>
      </c>
    </row>
    <row r="24" spans="1:92" x14ac:dyDescent="0.25">
      <c r="A24">
        <v>21</v>
      </c>
      <c r="CK24">
        <v>21</v>
      </c>
    </row>
    <row r="25" spans="1:92" x14ac:dyDescent="0.25">
      <c r="A25">
        <v>22</v>
      </c>
      <c r="CK25">
        <v>22</v>
      </c>
    </row>
    <row r="26" spans="1:92" x14ac:dyDescent="0.25">
      <c r="A26">
        <v>23</v>
      </c>
      <c r="CK26">
        <v>23</v>
      </c>
    </row>
    <row r="27" spans="1:92" x14ac:dyDescent="0.25">
      <c r="A27">
        <v>24</v>
      </c>
      <c r="CK27">
        <v>24</v>
      </c>
    </row>
    <row r="1048576" spans="91:91" x14ac:dyDescent="0.25">
      <c r="CM1048576" t="e">
        <f>STDEV(C1048576:CL1048576)</f>
        <v>#DIV/0!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48576"/>
  <sheetViews>
    <sheetView workbookViewId="0">
      <selection activeCell="AI9" sqref="AI9"/>
    </sheetView>
  </sheetViews>
  <sheetFormatPr defaultRowHeight="15" x14ac:dyDescent="0.25"/>
  <sheetData>
    <row r="1" spans="1:97" x14ac:dyDescent="0.25">
      <c r="B1" t="s">
        <v>1</v>
      </c>
    </row>
    <row r="2" spans="1:97" x14ac:dyDescent="0.25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f t="shared" ref="AL2:BQ2" si="0">AK2+1</f>
        <v>37</v>
      </c>
      <c r="AM2">
        <f t="shared" si="0"/>
        <v>38</v>
      </c>
      <c r="AN2">
        <f t="shared" si="0"/>
        <v>39</v>
      </c>
      <c r="AO2">
        <f t="shared" si="0"/>
        <v>40</v>
      </c>
      <c r="AP2">
        <f t="shared" si="0"/>
        <v>41</v>
      </c>
      <c r="AQ2">
        <f t="shared" si="0"/>
        <v>42</v>
      </c>
      <c r="AR2">
        <f t="shared" si="0"/>
        <v>43</v>
      </c>
      <c r="AS2">
        <f t="shared" si="0"/>
        <v>44</v>
      </c>
      <c r="AT2">
        <f t="shared" si="0"/>
        <v>45</v>
      </c>
      <c r="AU2">
        <f t="shared" si="0"/>
        <v>46</v>
      </c>
      <c r="AV2">
        <f t="shared" si="0"/>
        <v>47</v>
      </c>
      <c r="AW2">
        <f t="shared" si="0"/>
        <v>48</v>
      </c>
      <c r="AX2">
        <f t="shared" si="0"/>
        <v>49</v>
      </c>
      <c r="AY2">
        <f t="shared" si="0"/>
        <v>50</v>
      </c>
      <c r="AZ2">
        <f t="shared" si="0"/>
        <v>51</v>
      </c>
      <c r="BA2">
        <f t="shared" si="0"/>
        <v>52</v>
      </c>
      <c r="BB2">
        <f t="shared" si="0"/>
        <v>53</v>
      </c>
      <c r="BC2">
        <f t="shared" si="0"/>
        <v>54</v>
      </c>
      <c r="BD2">
        <f t="shared" si="0"/>
        <v>55</v>
      </c>
      <c r="BE2">
        <f t="shared" si="0"/>
        <v>56</v>
      </c>
      <c r="BF2">
        <f t="shared" si="0"/>
        <v>57</v>
      </c>
      <c r="BG2">
        <f t="shared" si="0"/>
        <v>58</v>
      </c>
      <c r="BH2">
        <f t="shared" si="0"/>
        <v>59</v>
      </c>
      <c r="BI2">
        <f t="shared" si="0"/>
        <v>60</v>
      </c>
      <c r="BJ2">
        <f t="shared" si="0"/>
        <v>61</v>
      </c>
      <c r="BK2">
        <f t="shared" si="0"/>
        <v>62</v>
      </c>
      <c r="BL2">
        <f t="shared" si="0"/>
        <v>63</v>
      </c>
      <c r="BM2">
        <f t="shared" si="0"/>
        <v>64</v>
      </c>
      <c r="BN2">
        <f t="shared" si="0"/>
        <v>65</v>
      </c>
      <c r="BO2">
        <f t="shared" si="0"/>
        <v>66</v>
      </c>
      <c r="BP2">
        <f t="shared" si="0"/>
        <v>67</v>
      </c>
      <c r="BQ2">
        <f t="shared" si="0"/>
        <v>68</v>
      </c>
      <c r="BR2">
        <f t="shared" ref="BR2:CJ2" si="1">BQ2+1</f>
        <v>69</v>
      </c>
      <c r="BS2">
        <f t="shared" si="1"/>
        <v>70</v>
      </c>
      <c r="BT2">
        <f t="shared" si="1"/>
        <v>71</v>
      </c>
      <c r="BU2">
        <f t="shared" si="1"/>
        <v>72</v>
      </c>
      <c r="BV2">
        <f t="shared" si="1"/>
        <v>73</v>
      </c>
      <c r="BW2">
        <f t="shared" si="1"/>
        <v>74</v>
      </c>
      <c r="BX2">
        <f t="shared" si="1"/>
        <v>75</v>
      </c>
      <c r="BY2">
        <f t="shared" si="1"/>
        <v>76</v>
      </c>
      <c r="BZ2">
        <f t="shared" si="1"/>
        <v>77</v>
      </c>
      <c r="CA2">
        <f t="shared" si="1"/>
        <v>78</v>
      </c>
      <c r="CB2">
        <f t="shared" si="1"/>
        <v>79</v>
      </c>
      <c r="CC2">
        <f t="shared" si="1"/>
        <v>80</v>
      </c>
      <c r="CD2">
        <f t="shared" si="1"/>
        <v>81</v>
      </c>
      <c r="CE2">
        <f t="shared" si="1"/>
        <v>82</v>
      </c>
      <c r="CF2">
        <f t="shared" si="1"/>
        <v>83</v>
      </c>
      <c r="CG2">
        <f t="shared" si="1"/>
        <v>84</v>
      </c>
      <c r="CH2">
        <f t="shared" si="1"/>
        <v>85</v>
      </c>
      <c r="CI2">
        <f t="shared" si="1"/>
        <v>86</v>
      </c>
      <c r="CJ2">
        <f t="shared" si="1"/>
        <v>87</v>
      </c>
      <c r="CK2" t="s">
        <v>5</v>
      </c>
      <c r="CL2" t="s">
        <v>2</v>
      </c>
      <c r="CM2" t="s">
        <v>3</v>
      </c>
      <c r="CN2" t="s">
        <v>4</v>
      </c>
    </row>
    <row r="3" spans="1:97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f>AVERAGE(B3:CJ3)</f>
        <v>0</v>
      </c>
      <c r="CM3">
        <f t="shared" ref="CM3:CM21" si="2">STDEV(B3:CJ3)</f>
        <v>0</v>
      </c>
      <c r="CN3">
        <f t="shared" ref="CN3:CN21" si="3">CM3/SQRT(COUNT(B3:CJ3))</f>
        <v>0</v>
      </c>
    </row>
    <row r="4" spans="1:97" x14ac:dyDescent="0.25">
      <c r="A4">
        <v>1</v>
      </c>
      <c r="B4">
        <v>7.6285873502368302</v>
      </c>
      <c r="C4">
        <v>3.1982881597717499</v>
      </c>
      <c r="D4">
        <v>0</v>
      </c>
      <c r="E4">
        <v>0</v>
      </c>
      <c r="F4">
        <v>0.26791277258566898</v>
      </c>
      <c r="G4">
        <v>0.26791277258566898</v>
      </c>
      <c r="H4">
        <v>0</v>
      </c>
      <c r="I4">
        <v>1.2745317309999999</v>
      </c>
      <c r="J4">
        <v>3.4808333330000001</v>
      </c>
      <c r="K4">
        <v>0</v>
      </c>
      <c r="L4">
        <v>0</v>
      </c>
      <c r="M4">
        <v>0</v>
      </c>
      <c r="N4">
        <v>1.6231239580000001</v>
      </c>
      <c r="O4">
        <v>0.54555586499999997</v>
      </c>
      <c r="P4">
        <v>6.5601890459999996</v>
      </c>
      <c r="Q4">
        <v>3.418455534</v>
      </c>
      <c r="R4">
        <v>3.603946637</v>
      </c>
      <c r="S4">
        <v>0</v>
      </c>
      <c r="T4">
        <v>0</v>
      </c>
      <c r="U4">
        <v>0.19083333299999999</v>
      </c>
      <c r="V4">
        <v>1.7688888890000001</v>
      </c>
      <c r="W4">
        <v>0</v>
      </c>
      <c r="X4">
        <v>5.8814361259999997</v>
      </c>
      <c r="Y4">
        <v>0</v>
      </c>
      <c r="Z4">
        <v>0.76055612800000005</v>
      </c>
      <c r="AB4">
        <v>4.13803681</v>
      </c>
      <c r="AC4">
        <v>4.8654007259999998</v>
      </c>
      <c r="AD4">
        <v>0</v>
      </c>
      <c r="AE4">
        <v>10.68388889</v>
      </c>
      <c r="AF4">
        <v>0</v>
      </c>
      <c r="AG4">
        <v>6.4286905750000001</v>
      </c>
      <c r="AH4">
        <v>0.14098998900000001</v>
      </c>
      <c r="AI4">
        <v>5.2988888889999997</v>
      </c>
      <c r="AJ4">
        <v>17.410570239999998</v>
      </c>
      <c r="AK4">
        <v>0</v>
      </c>
      <c r="AL4">
        <v>2.5825675299999999</v>
      </c>
      <c r="AM4">
        <v>0</v>
      </c>
      <c r="AN4">
        <v>0</v>
      </c>
      <c r="AO4">
        <v>0</v>
      </c>
      <c r="AP4">
        <v>0</v>
      </c>
      <c r="AQ4">
        <v>7.3947222220000004</v>
      </c>
      <c r="AR4">
        <v>9.6427378959999999</v>
      </c>
      <c r="AS4">
        <v>0</v>
      </c>
      <c r="AT4">
        <v>0</v>
      </c>
      <c r="AU4">
        <v>0</v>
      </c>
      <c r="AV4">
        <v>8.1645358530000003</v>
      </c>
      <c r="AW4">
        <v>5.8952777779999996</v>
      </c>
      <c r="AY4">
        <v>7.3213888889999996</v>
      </c>
      <c r="AZ4">
        <v>4.4075618570000001</v>
      </c>
      <c r="BA4">
        <v>0</v>
      </c>
      <c r="BB4">
        <v>0</v>
      </c>
      <c r="BC4">
        <v>0</v>
      </c>
      <c r="BD4">
        <v>15.423985460000001</v>
      </c>
      <c r="BE4">
        <v>7.2486080179999997</v>
      </c>
      <c r="BF4">
        <v>6.5547830920000001</v>
      </c>
      <c r="BG4">
        <v>0</v>
      </c>
      <c r="BH4">
        <v>0</v>
      </c>
      <c r="BI4">
        <v>0</v>
      </c>
      <c r="BJ4">
        <v>29.8235621</v>
      </c>
      <c r="BK4">
        <v>7.9894444440000001</v>
      </c>
      <c r="BL4">
        <v>0</v>
      </c>
      <c r="BM4">
        <v>0</v>
      </c>
      <c r="BN4">
        <v>0.37593776000000001</v>
      </c>
      <c r="BO4">
        <v>0</v>
      </c>
      <c r="BP4">
        <v>10.68388889</v>
      </c>
      <c r="BQ4">
        <v>0</v>
      </c>
      <c r="BR4">
        <v>0.140833333</v>
      </c>
      <c r="BS4">
        <v>6.43</v>
      </c>
      <c r="BT4">
        <v>5.2988888889999997</v>
      </c>
      <c r="BU4">
        <v>1.855</v>
      </c>
      <c r="BV4">
        <v>17.414999999999999</v>
      </c>
      <c r="BW4">
        <v>0.70944444399999995</v>
      </c>
      <c r="BX4">
        <v>0</v>
      </c>
      <c r="BY4">
        <v>20.022500000000001</v>
      </c>
      <c r="BZ4">
        <v>2.576944444</v>
      </c>
      <c r="CA4">
        <v>9.5741666670000001</v>
      </c>
      <c r="CB4">
        <v>6.7870447599999997</v>
      </c>
      <c r="CC4">
        <v>0</v>
      </c>
      <c r="CD4">
        <v>0</v>
      </c>
      <c r="CE4">
        <v>0.80222222200000004</v>
      </c>
      <c r="CF4">
        <v>0</v>
      </c>
      <c r="CG4">
        <v>0</v>
      </c>
      <c r="CH4">
        <v>7.3213888889999996</v>
      </c>
      <c r="CI4">
        <v>4.4105555560000003</v>
      </c>
      <c r="CJ4">
        <v>0</v>
      </c>
      <c r="CK4">
        <v>1</v>
      </c>
      <c r="CL4">
        <f>AVERAGE(B4:CJ4)</f>
        <v>3.4857706911432937</v>
      </c>
      <c r="CM4">
        <f t="shared" si="2"/>
        <v>5.3578670345440207</v>
      </c>
      <c r="CN4">
        <f t="shared" si="3"/>
        <v>0.58114227436756005</v>
      </c>
    </row>
    <row r="5" spans="1:97" x14ac:dyDescent="0.25">
      <c r="A5">
        <v>2</v>
      </c>
      <c r="B5">
        <v>13.5655441135541</v>
      </c>
      <c r="C5">
        <v>12.513384051845501</v>
      </c>
      <c r="D5">
        <v>3.75260930888575</v>
      </c>
      <c r="E5">
        <v>1.48763545429285</v>
      </c>
      <c r="F5">
        <v>5.2205142537730502</v>
      </c>
      <c r="G5">
        <v>5.2205142537730502</v>
      </c>
      <c r="H5">
        <v>0</v>
      </c>
      <c r="I5">
        <v>8.4768673359999998</v>
      </c>
      <c r="J5">
        <v>6.4461111109999996</v>
      </c>
      <c r="K5">
        <v>6.7288888890000003</v>
      </c>
      <c r="L5">
        <v>0</v>
      </c>
      <c r="M5">
        <v>0</v>
      </c>
      <c r="N5">
        <v>8.4697648379999997</v>
      </c>
      <c r="O5">
        <v>2.9396843289999999</v>
      </c>
      <c r="P5">
        <v>18.613888889999998</v>
      </c>
      <c r="Q5">
        <v>6.9377777780000001</v>
      </c>
      <c r="R5">
        <v>13.72722222</v>
      </c>
      <c r="S5">
        <v>0</v>
      </c>
      <c r="T5">
        <v>0</v>
      </c>
      <c r="U5">
        <v>8.6986377539999999</v>
      </c>
      <c r="V5">
        <v>9.2691666670000004</v>
      </c>
      <c r="W5">
        <v>0</v>
      </c>
      <c r="X5">
        <v>12.94456825</v>
      </c>
      <c r="Y5">
        <v>0</v>
      </c>
      <c r="Z5">
        <v>9.5501720179999996</v>
      </c>
      <c r="AB5">
        <v>12.8256753</v>
      </c>
      <c r="AC5">
        <v>10.32453119</v>
      </c>
      <c r="AD5">
        <v>0</v>
      </c>
      <c r="AE5">
        <v>21.478877149999999</v>
      </c>
      <c r="AF5">
        <v>0</v>
      </c>
      <c r="AG5">
        <v>18.19786809</v>
      </c>
      <c r="AH5">
        <v>1.4248402330000001</v>
      </c>
      <c r="AI5">
        <v>11.93444444</v>
      </c>
      <c r="AJ5">
        <v>41.268190689999997</v>
      </c>
      <c r="AK5">
        <v>1.440767519</v>
      </c>
      <c r="AL5">
        <v>10.53908206</v>
      </c>
      <c r="AM5">
        <v>0</v>
      </c>
      <c r="AN5">
        <v>0</v>
      </c>
      <c r="AO5">
        <v>0</v>
      </c>
      <c r="AP5">
        <v>0</v>
      </c>
      <c r="AQ5">
        <v>13.83527778</v>
      </c>
      <c r="AR5">
        <v>15.96661102</v>
      </c>
      <c r="AS5">
        <v>0</v>
      </c>
      <c r="AT5">
        <v>0</v>
      </c>
      <c r="AU5">
        <v>0.95496246900000004</v>
      </c>
      <c r="AV5">
        <v>18.441323690000001</v>
      </c>
      <c r="AW5">
        <v>10.458888890000001</v>
      </c>
      <c r="AY5">
        <v>13.72194444</v>
      </c>
      <c r="AZ5">
        <v>10.735482080000001</v>
      </c>
      <c r="BA5">
        <v>2.1863888889999998</v>
      </c>
      <c r="BB5">
        <v>5.3603876000000002E-2</v>
      </c>
      <c r="BC5">
        <v>0</v>
      </c>
      <c r="BD5">
        <v>48.122613370000003</v>
      </c>
      <c r="BE5">
        <v>12.25544389</v>
      </c>
      <c r="BF5">
        <v>25.225097380000001</v>
      </c>
      <c r="BG5">
        <v>0</v>
      </c>
      <c r="BH5">
        <v>0</v>
      </c>
      <c r="BI5">
        <v>0</v>
      </c>
      <c r="BJ5">
        <v>54.968078929999997</v>
      </c>
      <c r="BK5">
        <v>13.188346879999999</v>
      </c>
      <c r="BL5">
        <v>0</v>
      </c>
      <c r="BM5">
        <v>0</v>
      </c>
      <c r="BN5">
        <v>3.9902777779999998</v>
      </c>
      <c r="BO5">
        <v>0</v>
      </c>
      <c r="BP5">
        <v>21.478333330000002</v>
      </c>
      <c r="BQ5">
        <v>0</v>
      </c>
      <c r="BR5">
        <v>1.425</v>
      </c>
      <c r="BS5">
        <v>18.19786809</v>
      </c>
      <c r="BT5">
        <v>11.93444444</v>
      </c>
      <c r="BU5">
        <v>12.455277779999999</v>
      </c>
      <c r="BV5">
        <v>41.265499030000001</v>
      </c>
      <c r="BW5">
        <v>10.37972222</v>
      </c>
      <c r="BX5">
        <v>1.4391666670000001</v>
      </c>
      <c r="BY5">
        <v>29.37621562</v>
      </c>
      <c r="BZ5">
        <v>10.538888890000001</v>
      </c>
      <c r="CA5">
        <v>16.215795329999999</v>
      </c>
      <c r="CB5">
        <v>11.763201779999999</v>
      </c>
      <c r="CC5">
        <v>0</v>
      </c>
      <c r="CD5">
        <v>0</v>
      </c>
      <c r="CE5">
        <v>26.686666670000001</v>
      </c>
      <c r="CF5">
        <v>10.19083333</v>
      </c>
      <c r="CG5">
        <v>0.95472222200000001</v>
      </c>
      <c r="CH5">
        <v>13.72194444</v>
      </c>
      <c r="CI5">
        <v>10.735482080000001</v>
      </c>
      <c r="CJ5">
        <v>2.1863888889999998</v>
      </c>
      <c r="CK5">
        <v>2</v>
      </c>
      <c r="CL5">
        <f t="shared" ref="CL5:CL22" si="4">AVERAGE(B5:CJ5)</f>
        <v>9.165259063036757</v>
      </c>
      <c r="CM5">
        <f t="shared" si="2"/>
        <v>11.160098445043181</v>
      </c>
      <c r="CN5">
        <f t="shared" si="3"/>
        <v>1.2104826324922451</v>
      </c>
    </row>
    <row r="6" spans="1:97" x14ac:dyDescent="0.25">
      <c r="A6">
        <v>3</v>
      </c>
      <c r="B6">
        <v>14.2688536953242</v>
      </c>
      <c r="C6">
        <v>14.7539787798408</v>
      </c>
      <c r="D6">
        <v>9.4794330183435207</v>
      </c>
      <c r="E6">
        <v>7.2756598240469197</v>
      </c>
      <c r="F6">
        <v>2.0297222222222202</v>
      </c>
      <c r="G6">
        <v>2.0297222222222202</v>
      </c>
      <c r="H6">
        <v>0</v>
      </c>
      <c r="I6">
        <v>8.1831848550000004</v>
      </c>
      <c r="J6">
        <v>6.7694444440000003</v>
      </c>
      <c r="K6">
        <v>1.7598402740000001</v>
      </c>
      <c r="L6">
        <v>0</v>
      </c>
      <c r="M6">
        <v>0</v>
      </c>
      <c r="N6">
        <v>5.8841666669999997</v>
      </c>
      <c r="O6">
        <v>5.2793995000000002</v>
      </c>
      <c r="P6">
        <v>2.2830561039999999</v>
      </c>
      <c r="Q6">
        <v>0.77508361199999998</v>
      </c>
      <c r="R6">
        <v>15.71460362</v>
      </c>
      <c r="S6">
        <v>0</v>
      </c>
      <c r="T6">
        <v>0.71166666700000003</v>
      </c>
      <c r="U6">
        <v>6.1991666670000001</v>
      </c>
      <c r="V6">
        <v>8.0522222219999993</v>
      </c>
      <c r="W6">
        <v>0</v>
      </c>
      <c r="X6">
        <v>8.9966601730000004</v>
      </c>
      <c r="Y6">
        <v>0</v>
      </c>
      <c r="Z6">
        <v>12.34980494</v>
      </c>
      <c r="AB6">
        <v>11.960713289999999</v>
      </c>
      <c r="AC6">
        <v>7.2427745659999996</v>
      </c>
      <c r="AD6">
        <v>0</v>
      </c>
      <c r="AE6">
        <v>14.109318500000001</v>
      </c>
      <c r="AF6">
        <v>4.4650709710000003</v>
      </c>
      <c r="AH6">
        <v>0</v>
      </c>
      <c r="AI6">
        <v>6.1413888889999999</v>
      </c>
      <c r="AJ6">
        <v>32.220367279999998</v>
      </c>
      <c r="AK6">
        <v>33.618849040000001</v>
      </c>
      <c r="AL6">
        <v>11.24958217</v>
      </c>
      <c r="AM6">
        <v>0</v>
      </c>
      <c r="AN6">
        <v>0</v>
      </c>
      <c r="AO6">
        <v>0</v>
      </c>
      <c r="AP6">
        <v>0</v>
      </c>
      <c r="AQ6">
        <v>13.97638233</v>
      </c>
      <c r="AR6">
        <v>14.97237569</v>
      </c>
      <c r="AS6">
        <v>0</v>
      </c>
      <c r="AT6">
        <v>0</v>
      </c>
      <c r="AU6">
        <v>3.2486801889999999</v>
      </c>
      <c r="AV6">
        <v>15.68890742</v>
      </c>
      <c r="AW6">
        <v>10.40088963</v>
      </c>
      <c r="AY6">
        <v>8.5611111110000007</v>
      </c>
      <c r="AZ6">
        <v>11.955215580000001</v>
      </c>
      <c r="BA6">
        <v>6.6230555559999997</v>
      </c>
      <c r="BB6">
        <v>5.2838204280000003</v>
      </c>
      <c r="BC6">
        <v>0</v>
      </c>
      <c r="BD6">
        <v>34.483879930000001</v>
      </c>
      <c r="BE6">
        <v>10.05874126</v>
      </c>
      <c r="BF6">
        <v>19.94442901</v>
      </c>
      <c r="BG6">
        <v>0</v>
      </c>
      <c r="BH6">
        <v>0</v>
      </c>
      <c r="BI6">
        <v>0</v>
      </c>
      <c r="BL6">
        <v>1.4722222E-2</v>
      </c>
      <c r="BM6">
        <v>0</v>
      </c>
      <c r="BN6">
        <v>5.0828007780000002</v>
      </c>
      <c r="BO6">
        <v>1.3955555559999999</v>
      </c>
      <c r="BP6">
        <v>14.1075</v>
      </c>
      <c r="BQ6">
        <v>4.46</v>
      </c>
      <c r="BR6">
        <v>0</v>
      </c>
      <c r="BT6">
        <v>6.1413888889999999</v>
      </c>
      <c r="BU6">
        <v>8.0105555559999999</v>
      </c>
      <c r="BV6">
        <v>32.215000000000003</v>
      </c>
      <c r="BW6">
        <v>2.804667963</v>
      </c>
      <c r="BX6">
        <v>33.615833330000001</v>
      </c>
      <c r="BY6">
        <v>3.9710870169999999</v>
      </c>
      <c r="BZ6">
        <v>11.24944444</v>
      </c>
      <c r="CA6">
        <v>19.444444440000002</v>
      </c>
      <c r="CB6">
        <v>14.79899917</v>
      </c>
      <c r="CC6">
        <v>0</v>
      </c>
      <c r="CD6">
        <v>31.24729091</v>
      </c>
      <c r="CE6">
        <v>34.728055560000001</v>
      </c>
      <c r="CF6">
        <v>23.227499999999999</v>
      </c>
      <c r="CG6">
        <v>3.2484023340000001</v>
      </c>
      <c r="CH6">
        <v>8.5612670190000006</v>
      </c>
      <c r="CI6">
        <v>11.955265349999999</v>
      </c>
      <c r="CJ6">
        <v>6.623228675</v>
      </c>
      <c r="CK6">
        <v>3</v>
      </c>
      <c r="CL6">
        <f t="shared" si="4"/>
        <v>8.4679534759999964</v>
      </c>
      <c r="CM6">
        <f t="shared" si="2"/>
        <v>9.5501513608585036</v>
      </c>
      <c r="CN6">
        <f t="shared" si="3"/>
        <v>1.0611279289842781</v>
      </c>
    </row>
    <row r="7" spans="1:97" x14ac:dyDescent="0.25">
      <c r="A7">
        <v>4</v>
      </c>
      <c r="D7">
        <v>12.045846068352301</v>
      </c>
      <c r="F7">
        <v>0</v>
      </c>
      <c r="G7">
        <v>0</v>
      </c>
      <c r="H7">
        <v>0</v>
      </c>
      <c r="I7">
        <v>8.6057906460000009</v>
      </c>
      <c r="J7">
        <v>7.98</v>
      </c>
      <c r="K7">
        <v>0</v>
      </c>
      <c r="L7">
        <v>0</v>
      </c>
      <c r="M7">
        <v>0</v>
      </c>
      <c r="N7">
        <v>9.7304250559999996</v>
      </c>
      <c r="O7">
        <v>9.2895839149999997</v>
      </c>
      <c r="P7">
        <v>0</v>
      </c>
      <c r="Q7">
        <v>1.363585434</v>
      </c>
      <c r="R7">
        <v>14.12931034</v>
      </c>
      <c r="S7">
        <v>0</v>
      </c>
      <c r="T7">
        <v>5.8286111109999998</v>
      </c>
      <c r="U7">
        <v>5.9680377990000002</v>
      </c>
      <c r="V7">
        <v>3.8480555559999998</v>
      </c>
      <c r="W7">
        <v>0</v>
      </c>
      <c r="X7">
        <v>8.8485523389999994</v>
      </c>
      <c r="Y7">
        <v>0</v>
      </c>
      <c r="AB7">
        <v>11.91357681</v>
      </c>
      <c r="AC7">
        <v>5.6289855070000003</v>
      </c>
      <c r="AD7">
        <v>0</v>
      </c>
      <c r="AE7">
        <v>16.010842369999999</v>
      </c>
      <c r="AF7">
        <v>11.14496383</v>
      </c>
      <c r="AH7">
        <v>2.85265499</v>
      </c>
      <c r="AI7">
        <v>6.0588888890000003</v>
      </c>
      <c r="AJ7">
        <v>26.71631009</v>
      </c>
      <c r="AK7">
        <v>33.0180857</v>
      </c>
      <c r="AL7">
        <v>13.83328695</v>
      </c>
      <c r="AM7">
        <v>0</v>
      </c>
      <c r="AN7">
        <v>0</v>
      </c>
      <c r="AO7">
        <v>0</v>
      </c>
      <c r="AP7">
        <v>0</v>
      </c>
      <c r="AQ7">
        <v>0.85634898599999998</v>
      </c>
      <c r="AS7">
        <v>0</v>
      </c>
      <c r="AT7">
        <v>0</v>
      </c>
      <c r="AU7">
        <v>4.5097222219999997</v>
      </c>
      <c r="AV7">
        <v>17.931590660000001</v>
      </c>
      <c r="AW7">
        <v>9.8876841809999991</v>
      </c>
      <c r="AY7">
        <v>7.9780555560000002</v>
      </c>
      <c r="AZ7">
        <v>14.320534220000001</v>
      </c>
      <c r="BA7">
        <v>5.3319444440000003</v>
      </c>
      <c r="BB7">
        <v>8.5425078190000008</v>
      </c>
      <c r="BC7">
        <v>0</v>
      </c>
      <c r="BD7">
        <v>29.533570999999998</v>
      </c>
      <c r="BE7">
        <v>10.54961615</v>
      </c>
      <c r="BF7">
        <v>18.74082314</v>
      </c>
      <c r="BG7">
        <v>0</v>
      </c>
      <c r="BH7">
        <v>0</v>
      </c>
      <c r="BI7">
        <v>0</v>
      </c>
      <c r="BL7">
        <v>2.7863888889999999</v>
      </c>
      <c r="BM7">
        <v>0</v>
      </c>
      <c r="BN7">
        <v>4.579166667</v>
      </c>
      <c r="BO7">
        <v>18.62194444</v>
      </c>
      <c r="BP7">
        <v>16.010000000000002</v>
      </c>
      <c r="BQ7">
        <v>11.143651009999999</v>
      </c>
      <c r="BR7">
        <v>2.8530555560000002</v>
      </c>
      <c r="BT7">
        <v>6.0588888890000003</v>
      </c>
      <c r="BU7">
        <v>4.4711111109999999</v>
      </c>
      <c r="BV7">
        <v>26.71611111</v>
      </c>
      <c r="BW7">
        <v>2.3214781879999999</v>
      </c>
      <c r="BX7">
        <v>33.016666669999999</v>
      </c>
      <c r="BY7">
        <v>9.5563888890000008</v>
      </c>
      <c r="BZ7">
        <v>13.833888890000001</v>
      </c>
      <c r="CA7">
        <v>11.19949986</v>
      </c>
      <c r="CB7">
        <v>10.95332037</v>
      </c>
      <c r="CC7">
        <v>0</v>
      </c>
      <c r="CD7">
        <v>58.734722220000002</v>
      </c>
      <c r="CE7">
        <v>19.910833329999999</v>
      </c>
      <c r="CF7">
        <v>16.109752709999999</v>
      </c>
      <c r="CG7">
        <v>4.509308141</v>
      </c>
      <c r="CH7">
        <v>7.9780555560000002</v>
      </c>
      <c r="CI7">
        <v>14.32036677</v>
      </c>
      <c r="CJ7">
        <v>5.3319444440000003</v>
      </c>
      <c r="CK7">
        <v>4</v>
      </c>
      <c r="CL7">
        <f t="shared" si="4"/>
        <v>8.4738728353730544</v>
      </c>
      <c r="CM7">
        <f t="shared" si="2"/>
        <v>10.12701016945663</v>
      </c>
      <c r="CN7">
        <f t="shared" si="3"/>
        <v>1.1616477349702674</v>
      </c>
    </row>
    <row r="8" spans="1:97" x14ac:dyDescent="0.25">
      <c r="A8">
        <v>5</v>
      </c>
      <c r="D8">
        <v>13.0597388163378</v>
      </c>
      <c r="F8">
        <v>0</v>
      </c>
      <c r="G8">
        <v>0</v>
      </c>
      <c r="H8">
        <v>0</v>
      </c>
      <c r="I8">
        <v>7.8184855229999997</v>
      </c>
      <c r="J8">
        <v>6.5832282470000001</v>
      </c>
      <c r="K8">
        <v>4.0931239850000001</v>
      </c>
      <c r="L8">
        <v>0.69502363099999998</v>
      </c>
      <c r="M8">
        <v>0</v>
      </c>
      <c r="N8">
        <v>31.675397050000001</v>
      </c>
      <c r="O8">
        <v>6.8629413399999999</v>
      </c>
      <c r="P8">
        <v>0</v>
      </c>
      <c r="Q8">
        <v>5.7595992999999998E-2</v>
      </c>
      <c r="R8">
        <v>9.7478454269999997</v>
      </c>
      <c r="S8">
        <v>0</v>
      </c>
      <c r="T8">
        <v>5.4041666670000001</v>
      </c>
      <c r="U8">
        <v>27.745762710000001</v>
      </c>
      <c r="V8">
        <v>0</v>
      </c>
      <c r="W8">
        <v>0</v>
      </c>
      <c r="Y8">
        <v>0</v>
      </c>
      <c r="AB8">
        <v>11.525072890000001</v>
      </c>
      <c r="AD8">
        <v>0</v>
      </c>
      <c r="AE8">
        <v>14.31552918</v>
      </c>
      <c r="AF8">
        <v>3.5451002229999999</v>
      </c>
      <c r="AH8">
        <v>11.54833333</v>
      </c>
      <c r="AI8">
        <v>5.4519444439999996</v>
      </c>
      <c r="AJ8">
        <v>26.967213109999999</v>
      </c>
      <c r="AK8">
        <v>28.983533349999998</v>
      </c>
      <c r="AL8">
        <v>20.471897609999999</v>
      </c>
      <c r="AM8">
        <v>0</v>
      </c>
      <c r="AN8">
        <v>0</v>
      </c>
      <c r="AO8">
        <v>0</v>
      </c>
      <c r="AS8">
        <v>0</v>
      </c>
      <c r="AT8">
        <v>1.021111111</v>
      </c>
      <c r="AU8">
        <v>5.8356964140000001</v>
      </c>
      <c r="AV8">
        <v>14.28468168</v>
      </c>
      <c r="AW8">
        <v>9.9522089470000008</v>
      </c>
      <c r="AY8">
        <v>7.4472222219999997</v>
      </c>
      <c r="AZ8">
        <v>11.057349670000001</v>
      </c>
      <c r="BA8">
        <v>4.1102777780000004</v>
      </c>
      <c r="BB8">
        <v>20.487895720000001</v>
      </c>
      <c r="BC8">
        <v>0</v>
      </c>
      <c r="BE8">
        <v>9.2379627049999993</v>
      </c>
      <c r="BF8">
        <v>19.430914649999998</v>
      </c>
      <c r="BH8">
        <v>0</v>
      </c>
      <c r="BI8">
        <v>0</v>
      </c>
      <c r="BL8">
        <v>2.1855555560000002</v>
      </c>
      <c r="BM8">
        <v>0</v>
      </c>
      <c r="BN8">
        <v>4.8991924259999999</v>
      </c>
      <c r="BO8">
        <v>20.485277780000001</v>
      </c>
      <c r="BP8">
        <v>14.31552918</v>
      </c>
      <c r="BQ8">
        <v>3.542777778</v>
      </c>
      <c r="BR8">
        <v>11.54833333</v>
      </c>
      <c r="BT8">
        <v>5.4519444439999996</v>
      </c>
      <c r="BU8">
        <v>4.0988888890000004</v>
      </c>
      <c r="BV8">
        <v>26.96722222</v>
      </c>
      <c r="BW8">
        <v>3.44</v>
      </c>
      <c r="BX8">
        <v>28.983888889999999</v>
      </c>
      <c r="BY8">
        <v>0.73166666700000005</v>
      </c>
      <c r="BZ8">
        <v>20.473055559999999</v>
      </c>
      <c r="CA8">
        <v>11.89805556</v>
      </c>
      <c r="CB8">
        <v>13.48206839</v>
      </c>
      <c r="CC8">
        <v>0</v>
      </c>
      <c r="CD8">
        <v>50.00444444</v>
      </c>
      <c r="CE8">
        <v>0.88302306200000003</v>
      </c>
      <c r="CF8">
        <v>15.446204010000001</v>
      </c>
      <c r="CG8">
        <v>5.8358333330000001</v>
      </c>
      <c r="CH8">
        <v>7.4472222219999997</v>
      </c>
      <c r="CI8">
        <v>11.057317749999999</v>
      </c>
      <c r="CJ8">
        <v>4.1102777780000004</v>
      </c>
      <c r="CK8">
        <v>5</v>
      </c>
      <c r="CL8">
        <f t="shared" si="4"/>
        <v>8.6672147669762527</v>
      </c>
      <c r="CM8">
        <f t="shared" si="2"/>
        <v>10.093760100382944</v>
      </c>
      <c r="CN8">
        <f t="shared" si="3"/>
        <v>1.2064350847735696</v>
      </c>
    </row>
    <row r="9" spans="1:97" x14ac:dyDescent="0.25">
      <c r="A9">
        <v>6</v>
      </c>
      <c r="D9">
        <v>12.947562358276601</v>
      </c>
      <c r="F9">
        <v>0</v>
      </c>
      <c r="G9">
        <v>0</v>
      </c>
      <c r="H9">
        <v>0</v>
      </c>
      <c r="I9">
        <v>7.7087162349999998</v>
      </c>
      <c r="K9">
        <v>6.8272222219999996</v>
      </c>
      <c r="L9">
        <v>1.696463381</v>
      </c>
      <c r="M9">
        <v>0.809232481</v>
      </c>
      <c r="N9">
        <v>64.650890869999998</v>
      </c>
      <c r="O9">
        <v>15.092499999999999</v>
      </c>
      <c r="P9">
        <v>0</v>
      </c>
      <c r="Q9">
        <v>2.7577104750000001</v>
      </c>
      <c r="R9">
        <v>0.44855394900000001</v>
      </c>
      <c r="S9">
        <v>13.205</v>
      </c>
      <c r="T9">
        <v>3.2191666670000001</v>
      </c>
      <c r="U9">
        <v>15.36919655</v>
      </c>
      <c r="V9">
        <v>8.1719444439999993</v>
      </c>
      <c r="W9">
        <v>0</v>
      </c>
      <c r="AD9">
        <v>0</v>
      </c>
      <c r="AF9">
        <v>9.5280867629999992</v>
      </c>
      <c r="AH9">
        <v>13.974169740000001</v>
      </c>
      <c r="AI9">
        <v>7.9898181819999996</v>
      </c>
      <c r="AJ9">
        <v>27.83838665</v>
      </c>
      <c r="AK9">
        <v>28.087997770000001</v>
      </c>
      <c r="AL9">
        <v>24.515418499999999</v>
      </c>
      <c r="AM9">
        <v>0</v>
      </c>
      <c r="AN9">
        <v>0</v>
      </c>
      <c r="AO9">
        <v>0</v>
      </c>
      <c r="AS9">
        <v>0</v>
      </c>
      <c r="AT9">
        <v>0.48193440799999998</v>
      </c>
      <c r="AU9">
        <v>6.966082847</v>
      </c>
      <c r="AV9">
        <v>12.696498050000001</v>
      </c>
      <c r="AW9">
        <v>10.31915485</v>
      </c>
      <c r="AY9">
        <v>7.1169444439999996</v>
      </c>
      <c r="AZ9">
        <v>9.7023942089999995</v>
      </c>
      <c r="BA9">
        <v>5.6852777779999997</v>
      </c>
      <c r="BB9">
        <v>21.695</v>
      </c>
      <c r="BE9">
        <v>8.0938809719999991</v>
      </c>
      <c r="BF9">
        <v>20.522790440000001</v>
      </c>
      <c r="BH9">
        <v>0</v>
      </c>
      <c r="BI9">
        <v>0</v>
      </c>
      <c r="BL9">
        <v>1.9984472049999999</v>
      </c>
      <c r="BM9">
        <v>0</v>
      </c>
      <c r="BN9">
        <v>6.0594774869999997</v>
      </c>
      <c r="BO9">
        <v>18.554722219999999</v>
      </c>
      <c r="BQ9">
        <v>9.5288888889999992</v>
      </c>
      <c r="BR9">
        <v>13.97421731</v>
      </c>
      <c r="BT9">
        <v>7.9898181819999996</v>
      </c>
      <c r="BU9">
        <v>5.1902777779999996</v>
      </c>
      <c r="BV9">
        <v>27.83838665</v>
      </c>
      <c r="BW9">
        <v>3.5833333330000001</v>
      </c>
      <c r="BX9">
        <v>28.08777778</v>
      </c>
      <c r="BY9">
        <v>7.2948041119999996</v>
      </c>
      <c r="BZ9">
        <v>24.51481888</v>
      </c>
      <c r="CA9">
        <v>10.088055560000001</v>
      </c>
      <c r="CB9">
        <v>13.730052819999999</v>
      </c>
      <c r="CC9">
        <v>0</v>
      </c>
      <c r="CD9">
        <v>47.148888890000002</v>
      </c>
      <c r="CE9">
        <v>14.10638889</v>
      </c>
      <c r="CG9">
        <v>6.9663888890000001</v>
      </c>
      <c r="CH9">
        <v>7.1169444439999996</v>
      </c>
      <c r="CI9">
        <v>9.7022815799999993</v>
      </c>
      <c r="CJ9">
        <v>5.6852777779999997</v>
      </c>
      <c r="CK9">
        <v>6</v>
      </c>
      <c r="CL9">
        <f t="shared" si="4"/>
        <v>10.11551180813137</v>
      </c>
      <c r="CM9">
        <f t="shared" si="2"/>
        <v>11.798249762601992</v>
      </c>
      <c r="CN9">
        <f t="shared" si="3"/>
        <v>1.4864397513177008</v>
      </c>
    </row>
    <row r="10" spans="1:97" x14ac:dyDescent="0.25">
      <c r="A10">
        <v>7</v>
      </c>
      <c r="D10">
        <v>12.881045025013799</v>
      </c>
      <c r="F10">
        <v>0</v>
      </c>
      <c r="G10">
        <v>0</v>
      </c>
      <c r="I10">
        <v>8.2132107019999996</v>
      </c>
      <c r="K10">
        <v>4.8005555559999999</v>
      </c>
      <c r="L10">
        <v>1.4707194649999999</v>
      </c>
      <c r="M10">
        <v>1.6776974419999999</v>
      </c>
      <c r="N10">
        <v>65</v>
      </c>
      <c r="O10">
        <v>25.83504868</v>
      </c>
      <c r="P10">
        <v>0</v>
      </c>
      <c r="Q10">
        <v>2.178959087</v>
      </c>
      <c r="R10">
        <v>0</v>
      </c>
      <c r="T10">
        <v>4.5688888890000001</v>
      </c>
      <c r="U10">
        <v>12.948304609999999</v>
      </c>
      <c r="V10">
        <v>15.945833329999999</v>
      </c>
      <c r="W10">
        <v>0</v>
      </c>
      <c r="AD10">
        <v>0.210436756</v>
      </c>
      <c r="AF10">
        <v>11.210084030000001</v>
      </c>
      <c r="AJ10">
        <v>26.56522949</v>
      </c>
      <c r="AK10">
        <v>24.720638900000001</v>
      </c>
      <c r="AM10">
        <v>0</v>
      </c>
      <c r="AN10">
        <v>0</v>
      </c>
      <c r="AO10">
        <v>0</v>
      </c>
      <c r="AT10">
        <v>0</v>
      </c>
      <c r="AU10">
        <v>7.0965867830000002</v>
      </c>
      <c r="AV10">
        <v>12.491180979999999</v>
      </c>
      <c r="AW10">
        <v>11.077008620000001</v>
      </c>
      <c r="AY10">
        <v>6.3462846040000001</v>
      </c>
      <c r="AZ10">
        <v>9.543302701</v>
      </c>
      <c r="BA10">
        <v>5.7577104749999997</v>
      </c>
      <c r="BB10">
        <v>21.17777778</v>
      </c>
      <c r="BE10">
        <v>6.6265397540000004</v>
      </c>
      <c r="BF10">
        <v>18.603563470000001</v>
      </c>
      <c r="BH10">
        <v>0</v>
      </c>
      <c r="BI10">
        <v>0</v>
      </c>
      <c r="BN10">
        <v>6.6888888890000002</v>
      </c>
      <c r="BO10">
        <v>17.716944439999999</v>
      </c>
      <c r="BQ10">
        <v>11.209205020000001</v>
      </c>
      <c r="BU10">
        <v>8.9786111109999993</v>
      </c>
      <c r="BV10">
        <v>26.564601280000002</v>
      </c>
      <c r="BW10">
        <v>2.1558333329999999</v>
      </c>
      <c r="BX10">
        <v>24.721075670000001</v>
      </c>
      <c r="BY10">
        <v>8.7563888890000001</v>
      </c>
      <c r="CA10">
        <v>11.01694915</v>
      </c>
      <c r="CB10">
        <v>13.64470392</v>
      </c>
      <c r="CC10">
        <v>0</v>
      </c>
      <c r="CD10">
        <v>43.309894389999997</v>
      </c>
      <c r="CE10">
        <v>20.32222222</v>
      </c>
      <c r="CG10">
        <v>7.0965867830000002</v>
      </c>
      <c r="CH10">
        <v>6.346452867</v>
      </c>
      <c r="CI10">
        <v>9.5434056760000008</v>
      </c>
      <c r="CJ10">
        <v>5.757365203</v>
      </c>
      <c r="CK10">
        <v>7</v>
      </c>
      <c r="CL10">
        <f t="shared" si="4"/>
        <v>10.39953338403873</v>
      </c>
      <c r="CM10">
        <f t="shared" si="2"/>
        <v>12.148098133995257</v>
      </c>
      <c r="CN10">
        <f t="shared" si="3"/>
        <v>1.6846381046726273</v>
      </c>
    </row>
    <row r="11" spans="1:97" x14ac:dyDescent="0.25">
      <c r="A11">
        <v>8</v>
      </c>
      <c r="D11">
        <v>11.881878821567501</v>
      </c>
      <c r="F11">
        <v>0</v>
      </c>
      <c r="G11">
        <v>0</v>
      </c>
      <c r="I11">
        <v>8.6778056249999995</v>
      </c>
      <c r="K11">
        <v>2.1549999999999998</v>
      </c>
      <c r="L11">
        <v>1.5601890460000001</v>
      </c>
      <c r="M11">
        <v>1.3809788650000001</v>
      </c>
      <c r="N11">
        <v>65</v>
      </c>
      <c r="O11">
        <v>19.07478454</v>
      </c>
      <c r="P11">
        <v>0</v>
      </c>
      <c r="Q11">
        <v>2.8949416339999998</v>
      </c>
      <c r="R11">
        <v>0</v>
      </c>
      <c r="T11">
        <v>3.3888888999999998E-2</v>
      </c>
      <c r="U11">
        <v>1.001118256</v>
      </c>
      <c r="V11">
        <v>7.3330555559999997</v>
      </c>
      <c r="W11">
        <v>0</v>
      </c>
      <c r="AD11">
        <v>2.319205298</v>
      </c>
      <c r="AJ11">
        <v>25.702247190000001</v>
      </c>
      <c r="AM11">
        <v>0</v>
      </c>
      <c r="AN11">
        <v>0</v>
      </c>
      <c r="AO11">
        <v>0</v>
      </c>
      <c r="AT11">
        <v>5.327773144</v>
      </c>
      <c r="AW11">
        <v>12.320345120000001</v>
      </c>
      <c r="AZ11">
        <v>9.9937810949999992</v>
      </c>
      <c r="BA11">
        <v>4.5930880710000004</v>
      </c>
      <c r="BB11">
        <v>20.807446509999998</v>
      </c>
      <c r="BE11">
        <v>7.8830210110000003</v>
      </c>
      <c r="BF11">
        <v>16.220170450000001</v>
      </c>
      <c r="BH11">
        <v>0</v>
      </c>
      <c r="BN11">
        <v>6.3323145319999998</v>
      </c>
      <c r="BO11">
        <v>17.77111111</v>
      </c>
      <c r="BU11">
        <v>10.126959729999999</v>
      </c>
      <c r="BV11">
        <v>25.702247190000001</v>
      </c>
      <c r="BW11">
        <v>2.7404834679999999</v>
      </c>
      <c r="BY11">
        <v>9.1605555560000003</v>
      </c>
      <c r="CA11">
        <v>11</v>
      </c>
      <c r="CB11">
        <v>15.679911089999999</v>
      </c>
      <c r="CC11">
        <v>0</v>
      </c>
      <c r="CD11">
        <v>31.87805556</v>
      </c>
      <c r="CE11">
        <v>16.617393719999999</v>
      </c>
      <c r="CI11">
        <v>9.9937810949999992</v>
      </c>
      <c r="CJ11">
        <v>4.5923867740000004</v>
      </c>
      <c r="CK11">
        <v>8</v>
      </c>
      <c r="CL11">
        <f t="shared" si="4"/>
        <v>9.2322837844420835</v>
      </c>
      <c r="CM11">
        <f t="shared" si="2"/>
        <v>12.110860176536409</v>
      </c>
      <c r="CN11">
        <f t="shared" si="3"/>
        <v>1.8687462961620598</v>
      </c>
    </row>
    <row r="12" spans="1:97" x14ac:dyDescent="0.25">
      <c r="A12">
        <v>9</v>
      </c>
      <c r="D12">
        <v>12.3007226236798</v>
      </c>
      <c r="F12">
        <v>0</v>
      </c>
      <c r="G12">
        <v>0</v>
      </c>
      <c r="I12">
        <v>8.4714564190000008</v>
      </c>
      <c r="K12">
        <v>0</v>
      </c>
      <c r="L12">
        <v>1.2257436749999999</v>
      </c>
      <c r="M12">
        <v>0.84185658699999999</v>
      </c>
      <c r="N12">
        <v>64.998328689999994</v>
      </c>
      <c r="O12">
        <v>15.0640327</v>
      </c>
      <c r="P12">
        <v>0</v>
      </c>
      <c r="Q12">
        <v>0</v>
      </c>
      <c r="R12">
        <v>1.05725403</v>
      </c>
      <c r="T12">
        <v>0</v>
      </c>
      <c r="U12">
        <v>1.8480392160000001</v>
      </c>
      <c r="V12">
        <v>5.5824686940000001</v>
      </c>
      <c r="AM12">
        <v>0</v>
      </c>
      <c r="AN12">
        <v>0</v>
      </c>
      <c r="AO12">
        <v>0</v>
      </c>
      <c r="AT12">
        <v>13.323504870000001</v>
      </c>
      <c r="AW12">
        <v>12.60083449</v>
      </c>
      <c r="BA12">
        <v>3.9966044140000001</v>
      </c>
      <c r="BB12">
        <v>28.80466796</v>
      </c>
      <c r="BE12">
        <v>8.514848658</v>
      </c>
      <c r="BH12">
        <v>0</v>
      </c>
      <c r="BN12">
        <v>6.7963323149999999</v>
      </c>
      <c r="BO12">
        <v>19.129496400000001</v>
      </c>
      <c r="BW12">
        <v>1.270075021</v>
      </c>
      <c r="BY12">
        <v>9</v>
      </c>
      <c r="CA12">
        <v>11.38666667</v>
      </c>
      <c r="CB12">
        <v>13.96526055</v>
      </c>
      <c r="CC12">
        <v>0</v>
      </c>
      <c r="CD12">
        <v>24.048722990000002</v>
      </c>
      <c r="CE12">
        <v>15.20055556</v>
      </c>
      <c r="CJ12">
        <v>3.9966072939999999</v>
      </c>
      <c r="CK12">
        <v>9</v>
      </c>
      <c r="CL12">
        <f t="shared" si="4"/>
        <v>8.3360023478435235</v>
      </c>
      <c r="CM12">
        <f t="shared" si="2"/>
        <v>12.612335360312311</v>
      </c>
      <c r="CN12">
        <f t="shared" si="3"/>
        <v>2.1629976696363955</v>
      </c>
    </row>
    <row r="13" spans="1:97" x14ac:dyDescent="0.25">
      <c r="A13">
        <v>10</v>
      </c>
      <c r="D13">
        <v>11.2615341856587</v>
      </c>
      <c r="F13">
        <v>0</v>
      </c>
      <c r="G13">
        <v>0</v>
      </c>
      <c r="I13">
        <v>9</v>
      </c>
      <c r="K13">
        <v>0</v>
      </c>
      <c r="L13">
        <v>0.99964887599999996</v>
      </c>
      <c r="M13">
        <v>0</v>
      </c>
      <c r="N13">
        <v>58.86605402</v>
      </c>
      <c r="P13">
        <v>0</v>
      </c>
      <c r="R13">
        <v>9.241446453</v>
      </c>
      <c r="AM13">
        <v>0</v>
      </c>
      <c r="AT13">
        <v>2.519630485</v>
      </c>
      <c r="AW13">
        <v>13.247428409999999</v>
      </c>
      <c r="BB13">
        <v>25.36638889</v>
      </c>
      <c r="BE13">
        <v>8.1826867399999994</v>
      </c>
      <c r="BH13">
        <v>0</v>
      </c>
      <c r="BN13">
        <v>7.9636009999999997</v>
      </c>
      <c r="BW13">
        <v>2.9298339580000001</v>
      </c>
      <c r="BY13">
        <v>9.9080555560000008</v>
      </c>
      <c r="CA13">
        <v>9.3597222220000003</v>
      </c>
      <c r="CE13">
        <v>14.28388889</v>
      </c>
      <c r="CK13">
        <v>10</v>
      </c>
      <c r="CL13">
        <f t="shared" si="4"/>
        <v>8.7204723659837473</v>
      </c>
      <c r="CM13">
        <f t="shared" si="2"/>
        <v>13.25993581070939</v>
      </c>
      <c r="CN13">
        <f t="shared" si="3"/>
        <v>2.8935552172776866</v>
      </c>
      <c r="CS13" t="s">
        <v>6</v>
      </c>
    </row>
    <row r="14" spans="1:97" x14ac:dyDescent="0.25">
      <c r="A14">
        <v>11</v>
      </c>
      <c r="D14">
        <v>9.3442714126807491</v>
      </c>
      <c r="I14">
        <v>8.7172760260000004</v>
      </c>
      <c r="K14">
        <v>0.82356210100000005</v>
      </c>
      <c r="M14">
        <v>0</v>
      </c>
      <c r="N14">
        <v>58.022568960000001</v>
      </c>
      <c r="P14">
        <v>0</v>
      </c>
      <c r="R14">
        <v>8.6758409790000002</v>
      </c>
      <c r="AM14">
        <v>0</v>
      </c>
      <c r="AW14">
        <v>13.924339359999999</v>
      </c>
      <c r="BB14">
        <v>15.05833333</v>
      </c>
      <c r="BE14">
        <v>6.1487371380000004</v>
      </c>
      <c r="BH14">
        <v>0</v>
      </c>
      <c r="BN14">
        <v>7.9643652559999998</v>
      </c>
      <c r="BY14">
        <v>10.188888889999999</v>
      </c>
      <c r="CA14">
        <v>8.4930555559999998</v>
      </c>
      <c r="CE14">
        <v>13.404444440000001</v>
      </c>
      <c r="CK14">
        <v>11</v>
      </c>
      <c r="CL14">
        <f t="shared" si="4"/>
        <v>10.047855215542546</v>
      </c>
      <c r="CM14">
        <f t="shared" si="2"/>
        <v>13.827572142692373</v>
      </c>
      <c r="CN14">
        <f t="shared" si="3"/>
        <v>3.4568930356730934</v>
      </c>
    </row>
    <row r="15" spans="1:97" x14ac:dyDescent="0.25">
      <c r="A15">
        <v>12</v>
      </c>
      <c r="D15">
        <v>9.8232351306281203</v>
      </c>
      <c r="I15">
        <v>6.3102199939999997</v>
      </c>
      <c r="K15">
        <v>6.6322957200000001</v>
      </c>
      <c r="N15">
        <v>56.37699877</v>
      </c>
      <c r="P15">
        <v>0</v>
      </c>
      <c r="R15">
        <v>13.74721913</v>
      </c>
      <c r="AW15">
        <v>15.055045870000001</v>
      </c>
      <c r="BB15">
        <v>7.8266666669999996</v>
      </c>
      <c r="BE15">
        <v>5.9622252749999998</v>
      </c>
      <c r="BH15">
        <v>0</v>
      </c>
      <c r="BY15">
        <v>9.0511111110000009</v>
      </c>
      <c r="CA15">
        <v>8.6702777780000009</v>
      </c>
      <c r="CE15">
        <v>12.905797099999999</v>
      </c>
      <c r="CK15">
        <v>12</v>
      </c>
      <c r="CL15">
        <f t="shared" si="4"/>
        <v>11.720084041971395</v>
      </c>
      <c r="CM15">
        <f t="shared" si="2"/>
        <v>14.168875988861963</v>
      </c>
      <c r="CN15">
        <f t="shared" si="3"/>
        <v>3.9297391456563342</v>
      </c>
    </row>
    <row r="16" spans="1:97" x14ac:dyDescent="0.25">
      <c r="A16">
        <v>13</v>
      </c>
      <c r="D16">
        <v>9.2854363535297306</v>
      </c>
      <c r="I16">
        <v>5.3044058740000004</v>
      </c>
      <c r="K16">
        <v>0</v>
      </c>
      <c r="P16">
        <v>0</v>
      </c>
      <c r="R16">
        <v>39.614050059999997</v>
      </c>
      <c r="AW16">
        <v>12.517653599999999</v>
      </c>
      <c r="BB16">
        <v>5.3554752639999998</v>
      </c>
      <c r="BE16">
        <v>5.995192308</v>
      </c>
      <c r="BH16">
        <v>0</v>
      </c>
      <c r="BY16">
        <v>9.2274999999999991</v>
      </c>
      <c r="CA16">
        <v>8.0594609609999992</v>
      </c>
      <c r="CK16">
        <v>13</v>
      </c>
      <c r="CL16">
        <f t="shared" si="4"/>
        <v>8.669015856411793</v>
      </c>
      <c r="CM16">
        <f t="shared" si="2"/>
        <v>11.083210644919399</v>
      </c>
      <c r="CN16">
        <f t="shared" si="3"/>
        <v>3.3417137437882309</v>
      </c>
    </row>
    <row r="17" spans="1:92" x14ac:dyDescent="0.25">
      <c r="A17">
        <v>14</v>
      </c>
      <c r="D17">
        <v>8.2074527252502705</v>
      </c>
      <c r="K17">
        <v>8.3217367E-2</v>
      </c>
      <c r="P17">
        <v>0</v>
      </c>
      <c r="AW17">
        <v>10.592551419999999</v>
      </c>
      <c r="BB17">
        <v>4.9864130429999998</v>
      </c>
      <c r="BE17">
        <v>5.0470508010000001</v>
      </c>
      <c r="BH17">
        <v>0</v>
      </c>
      <c r="BY17">
        <v>9.5644820300000006</v>
      </c>
      <c r="CA17">
        <v>8</v>
      </c>
      <c r="CK17">
        <v>14</v>
      </c>
      <c r="CL17">
        <f t="shared" si="4"/>
        <v>5.1645741540278074</v>
      </c>
      <c r="CM17">
        <f t="shared" si="2"/>
        <v>4.2622216704749807</v>
      </c>
      <c r="CN17">
        <f t="shared" si="3"/>
        <v>1.4207405568249936</v>
      </c>
    </row>
    <row r="18" spans="1:92" x14ac:dyDescent="0.25">
      <c r="A18">
        <v>15</v>
      </c>
      <c r="D18">
        <v>7.4794330183435198</v>
      </c>
      <c r="K18">
        <v>3.442061281</v>
      </c>
      <c r="P18">
        <v>0</v>
      </c>
      <c r="AW18">
        <v>9.1451209339999995</v>
      </c>
      <c r="BE18">
        <v>4.988399072</v>
      </c>
      <c r="BH18">
        <v>0</v>
      </c>
      <c r="CA18">
        <v>7.8027777780000003</v>
      </c>
      <c r="CK18">
        <v>15</v>
      </c>
      <c r="CL18">
        <f t="shared" si="4"/>
        <v>4.6939702976205027</v>
      </c>
      <c r="CM18">
        <f t="shared" si="2"/>
        <v>3.7183532938051167</v>
      </c>
      <c r="CN18">
        <f t="shared" si="3"/>
        <v>1.405405443155175</v>
      </c>
    </row>
    <row r="19" spans="1:92" x14ac:dyDescent="0.25">
      <c r="A19">
        <v>16</v>
      </c>
      <c r="D19">
        <v>6.5404503753127603</v>
      </c>
      <c r="K19">
        <v>0.487451199</v>
      </c>
      <c r="P19">
        <v>0</v>
      </c>
      <c r="AW19">
        <v>8.8971541280000004</v>
      </c>
      <c r="BH19">
        <v>0</v>
      </c>
      <c r="CA19">
        <v>7.6685190329999999</v>
      </c>
      <c r="CK19">
        <v>16</v>
      </c>
      <c r="CL19">
        <f t="shared" si="4"/>
        <v>3.9322624558854602</v>
      </c>
      <c r="CM19">
        <f t="shared" si="2"/>
        <v>4.2001073174005441</v>
      </c>
      <c r="CN19">
        <f t="shared" si="3"/>
        <v>1.7146866320935339</v>
      </c>
    </row>
    <row r="20" spans="1:92" x14ac:dyDescent="0.25">
      <c r="A20">
        <v>17</v>
      </c>
      <c r="D20">
        <v>6.9319066147859898</v>
      </c>
      <c r="K20">
        <v>0.245682451</v>
      </c>
      <c r="P20">
        <v>0</v>
      </c>
      <c r="AW20">
        <v>8.4835507660000005</v>
      </c>
      <c r="CA20">
        <v>6.62</v>
      </c>
      <c r="CK20">
        <v>17</v>
      </c>
      <c r="CL20">
        <f t="shared" si="4"/>
        <v>4.4562279663571989</v>
      </c>
      <c r="CM20">
        <f t="shared" si="2"/>
        <v>4.0192314048031079</v>
      </c>
      <c r="CN20">
        <f t="shared" si="3"/>
        <v>1.7974549276883447</v>
      </c>
    </row>
    <row r="21" spans="1:92" x14ac:dyDescent="0.25">
      <c r="A21">
        <v>18</v>
      </c>
      <c r="K21">
        <v>3.4783382789999999</v>
      </c>
      <c r="AW21">
        <v>8.9755862509999993</v>
      </c>
      <c r="CA21">
        <v>8.6391111110000001</v>
      </c>
      <c r="CK21">
        <v>18</v>
      </c>
      <c r="CL21">
        <f t="shared" si="4"/>
        <v>7.0310118803333337</v>
      </c>
      <c r="CM21">
        <f t="shared" si="2"/>
        <v>3.0813018625521846</v>
      </c>
      <c r="CN21">
        <f t="shared" si="3"/>
        <v>1.7789904597989992</v>
      </c>
    </row>
    <row r="22" spans="1:92" x14ac:dyDescent="0.25">
      <c r="A22">
        <v>19</v>
      </c>
      <c r="AW22">
        <v>9.9685114499999994</v>
      </c>
      <c r="CK22">
        <v>19</v>
      </c>
      <c r="CL22">
        <f t="shared" si="4"/>
        <v>9.9685114499999994</v>
      </c>
      <c r="CM22">
        <v>0</v>
      </c>
      <c r="CN22">
        <v>0</v>
      </c>
    </row>
    <row r="23" spans="1:92" x14ac:dyDescent="0.25">
      <c r="A23">
        <v>20</v>
      </c>
      <c r="CK23">
        <v>20</v>
      </c>
    </row>
    <row r="24" spans="1:92" x14ac:dyDescent="0.25">
      <c r="A24">
        <v>21</v>
      </c>
      <c r="CK24">
        <v>21</v>
      </c>
    </row>
    <row r="25" spans="1:92" x14ac:dyDescent="0.25">
      <c r="A25">
        <v>22</v>
      </c>
      <c r="CK25">
        <v>22</v>
      </c>
    </row>
    <row r="26" spans="1:92" x14ac:dyDescent="0.25">
      <c r="A26">
        <v>23</v>
      </c>
      <c r="CK26">
        <v>23</v>
      </c>
    </row>
    <row r="27" spans="1:92" x14ac:dyDescent="0.25">
      <c r="A27">
        <v>24</v>
      </c>
      <c r="CK27">
        <v>24</v>
      </c>
    </row>
    <row r="1048576" spans="91:91" x14ac:dyDescent="0.25">
      <c r="CM1048576" t="e">
        <f>STDEV(C1048576:CL1048576)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Charts</vt:lpstr>
      </vt:variant>
      <vt:variant>
        <vt:i4>8</vt:i4>
      </vt:variant>
    </vt:vector>
  </HeadingPairs>
  <TitlesOfParts>
    <vt:vector size="17" baseType="lpstr">
      <vt:lpstr>PortalFlow4TP</vt:lpstr>
      <vt:lpstr>Bile4TP</vt:lpstr>
      <vt:lpstr>pH4TP</vt:lpstr>
      <vt:lpstr>ArterialFlow4TP</vt:lpstr>
      <vt:lpstr>PortalFlow</vt:lpstr>
      <vt:lpstr>IVCFlow</vt:lpstr>
      <vt:lpstr>ArterialFlow</vt:lpstr>
      <vt:lpstr>pH</vt:lpstr>
      <vt:lpstr>Bile</vt:lpstr>
      <vt:lpstr>PortalFlowgraph4TP</vt:lpstr>
      <vt:lpstr>Bilegraph4TP</vt:lpstr>
      <vt:lpstr>pHgraph4TP</vt:lpstr>
      <vt:lpstr>HAgraph4TP</vt:lpstr>
      <vt:lpstr>BileGraph</vt:lpstr>
      <vt:lpstr>pHGraph</vt:lpstr>
      <vt:lpstr>PortalGraph</vt:lpstr>
      <vt:lpstr>HAgraph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 Coussios</dc:creator>
  <cp:lastModifiedBy>dnasralla</cp:lastModifiedBy>
  <dcterms:created xsi:type="dcterms:W3CDTF">2017-12-16T23:56:12Z</dcterms:created>
  <dcterms:modified xsi:type="dcterms:W3CDTF">2018-02-21T23:49:33Z</dcterms:modified>
</cp:coreProperties>
</file>