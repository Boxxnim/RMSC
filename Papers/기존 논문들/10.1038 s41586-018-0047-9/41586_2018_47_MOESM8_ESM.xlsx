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nasralla\Dropbox\PhD\PhD\Manuscripts\Trial manuscript\Nature\Revision 4 - formatting\Figures and Tables\"/>
    </mc:Choice>
  </mc:AlternateContent>
  <bookViews>
    <workbookView xWindow="0" yWindow="0" windowWidth="28770" windowHeight="12360" tabRatio="500" activeTab="1"/>
  </bookViews>
  <sheets>
    <sheet name="Peak AST &lt;250 UL" sheetId="1" r:id="rId1"/>
    <sheet name="Peak AST &gt;1000 UL" sheetId="4" r:id="rId2"/>
    <sheet name="Sheet1" sheetId="5" r:id="rId3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Z10" i="4" l="1"/>
  <c r="BZ11" i="4"/>
  <c r="BZ24" i="4"/>
  <c r="BZ3" i="4"/>
  <c r="BZ18" i="4"/>
  <c r="BZ25" i="4"/>
  <c r="BZ20" i="4"/>
  <c r="BZ23" i="4"/>
  <c r="BZ17" i="4"/>
  <c r="BZ8" i="4"/>
  <c r="BZ2" i="4"/>
  <c r="BZ6" i="4"/>
  <c r="BZ21" i="4"/>
  <c r="BZ15" i="4"/>
  <c r="BZ13" i="4"/>
  <c r="BZ9" i="4"/>
  <c r="BZ21" i="1"/>
  <c r="BZ19" i="1"/>
  <c r="BZ28" i="1"/>
  <c r="BZ20" i="1"/>
  <c r="BZ27" i="1"/>
  <c r="BZ17" i="1"/>
  <c r="BZ7" i="1"/>
  <c r="BZ15" i="1"/>
  <c r="BZ3" i="1"/>
  <c r="BZ12" i="1"/>
  <c r="BZ2" i="1"/>
  <c r="BZ22" i="1"/>
  <c r="BZ18" i="1"/>
  <c r="BZ24" i="1"/>
  <c r="BZ13" i="1"/>
  <c r="BZ23" i="1"/>
  <c r="BW26" i="4"/>
  <c r="BW16" i="4"/>
  <c r="BW25" i="4"/>
  <c r="BW19" i="4"/>
  <c r="BW18" i="4"/>
  <c r="BW11" i="4"/>
  <c r="BW4" i="4"/>
  <c r="BW10" i="4"/>
  <c r="BW14" i="4"/>
  <c r="BW5" i="4"/>
  <c r="BW17" i="4"/>
  <c r="BW9" i="4"/>
  <c r="BW5" i="1"/>
  <c r="BW22" i="1"/>
  <c r="BW16" i="1"/>
  <c r="BW17" i="1"/>
  <c r="BW26" i="1"/>
  <c r="BW12" i="1"/>
  <c r="BW6" i="1"/>
  <c r="BW19" i="1"/>
  <c r="BW7" i="1"/>
  <c r="BW3" i="1"/>
  <c r="BW11" i="1"/>
  <c r="BW15" i="1"/>
  <c r="BW18" i="1"/>
  <c r="BW2" i="1"/>
  <c r="BW20" i="1"/>
  <c r="BW29" i="1"/>
  <c r="BW9" i="1"/>
  <c r="BW24" i="1"/>
  <c r="BW27" i="1"/>
  <c r="BW28" i="1"/>
  <c r="BW25" i="1"/>
  <c r="BS5" i="4"/>
  <c r="BS19" i="4"/>
  <c r="BS18" i="4"/>
  <c r="BS4" i="4"/>
  <c r="BS11" i="4"/>
  <c r="BS25" i="4"/>
  <c r="BS26" i="4"/>
  <c r="BS14" i="4"/>
  <c r="BS9" i="4"/>
  <c r="BS10" i="4"/>
  <c r="BS16" i="4"/>
  <c r="BS5" i="1"/>
  <c r="BS22" i="1"/>
  <c r="BS10" i="1"/>
  <c r="BS17" i="1"/>
  <c r="BS12" i="1"/>
  <c r="BS6" i="1"/>
  <c r="BS19" i="1"/>
  <c r="BS7" i="1"/>
  <c r="BS3" i="1"/>
  <c r="BS11" i="1"/>
  <c r="BS15" i="1"/>
  <c r="BS18" i="1"/>
  <c r="BS2" i="1"/>
  <c r="BS20" i="1"/>
  <c r="BS29" i="1"/>
  <c r="BS9" i="1"/>
  <c r="BS24" i="1"/>
  <c r="BS27" i="1"/>
  <c r="BS28" i="1"/>
  <c r="BS25" i="1"/>
  <c r="BO5" i="4"/>
  <c r="BO19" i="4"/>
  <c r="BO18" i="4"/>
  <c r="BO8" i="4"/>
  <c r="BO22" i="4"/>
  <c r="BO20" i="4"/>
  <c r="BO3" i="4"/>
  <c r="BO4" i="4"/>
  <c r="BO24" i="4"/>
  <c r="BO7" i="4"/>
  <c r="BO11" i="4"/>
  <c r="BO2" i="4"/>
  <c r="BO25" i="4"/>
  <c r="BO12" i="4"/>
  <c r="BO26" i="4"/>
  <c r="BO6" i="4"/>
  <c r="BO17" i="4"/>
  <c r="BO14" i="4"/>
  <c r="BO21" i="4"/>
  <c r="BO23" i="4"/>
  <c r="BO9" i="4"/>
  <c r="BO15" i="4"/>
  <c r="BO10" i="4"/>
  <c r="BO16" i="4"/>
  <c r="BO5" i="1"/>
  <c r="BO22" i="1"/>
  <c r="BO13" i="1"/>
  <c r="BO10" i="1"/>
  <c r="BO16" i="1"/>
  <c r="BO17" i="1"/>
  <c r="BO26" i="1"/>
  <c r="BO12" i="1"/>
  <c r="BO6" i="1"/>
  <c r="BO19" i="1"/>
  <c r="BO7" i="1"/>
  <c r="BO3" i="1"/>
  <c r="BO11" i="1"/>
  <c r="BO21" i="1"/>
  <c r="BO15" i="1"/>
  <c r="BO18" i="1"/>
  <c r="BO2" i="1"/>
  <c r="BO4" i="1"/>
  <c r="BO20" i="1"/>
  <c r="BO29" i="1"/>
  <c r="BO14" i="1"/>
  <c r="BO23" i="1"/>
  <c r="BO8" i="1"/>
  <c r="BO9" i="1"/>
  <c r="BO24" i="1"/>
  <c r="BO27" i="1"/>
  <c r="BO28" i="1"/>
  <c r="BO25" i="1"/>
  <c r="BK5" i="4"/>
  <c r="BK19" i="4"/>
  <c r="BK18" i="4"/>
  <c r="BK8" i="4"/>
  <c r="BK22" i="4"/>
  <c r="BK20" i="4"/>
  <c r="BK3" i="4"/>
  <c r="BK4" i="4"/>
  <c r="BK24" i="4"/>
  <c r="BK7" i="4"/>
  <c r="BK11" i="4"/>
  <c r="BK2" i="4"/>
  <c r="BK25" i="4"/>
  <c r="BK12" i="4"/>
  <c r="BK26" i="4"/>
  <c r="BK6" i="4"/>
  <c r="BK17" i="4"/>
  <c r="BK14" i="4"/>
  <c r="BK21" i="4"/>
  <c r="BK23" i="4"/>
  <c r="BK9" i="4"/>
  <c r="BK15" i="4"/>
  <c r="BK10" i="4"/>
  <c r="BK16" i="4"/>
  <c r="BK5" i="1"/>
  <c r="BK22" i="1"/>
  <c r="BK13" i="1"/>
  <c r="BK10" i="1"/>
  <c r="BK16" i="1"/>
  <c r="BK17" i="1"/>
  <c r="BK26" i="1"/>
  <c r="BK12" i="1"/>
  <c r="BK6" i="1"/>
  <c r="BK19" i="1"/>
  <c r="BK7" i="1"/>
  <c r="BK3" i="1"/>
  <c r="BK11" i="1"/>
  <c r="BK21" i="1"/>
  <c r="BK15" i="1"/>
  <c r="BK18" i="1"/>
  <c r="BK2" i="1"/>
  <c r="BK4" i="1"/>
  <c r="BK20" i="1"/>
  <c r="BK29" i="1"/>
  <c r="BK14" i="1"/>
  <c r="BK23" i="1"/>
  <c r="BK8" i="1"/>
  <c r="BK9" i="1"/>
  <c r="BK24" i="1"/>
  <c r="BK27" i="1"/>
  <c r="BK28" i="1"/>
  <c r="BK25" i="1"/>
  <c r="BD16" i="1"/>
  <c r="BD10" i="1"/>
  <c r="BD5" i="1"/>
  <c r="BD22" i="1"/>
  <c r="BD19" i="1"/>
  <c r="BD13" i="1"/>
  <c r="BD7" i="1"/>
  <c r="BD3" i="1"/>
  <c r="BD26" i="1"/>
  <c r="BD21" i="1"/>
  <c r="BD17" i="1"/>
  <c r="BD20" i="1"/>
  <c r="BD11" i="1"/>
  <c r="BD18" i="1"/>
  <c r="BD12" i="1"/>
  <c r="BD6" i="1"/>
  <c r="BD9" i="1"/>
  <c r="BD23" i="1"/>
  <c r="BD2" i="1"/>
  <c r="BD8" i="1"/>
  <c r="BD4" i="1"/>
  <c r="BD15" i="1"/>
  <c r="BD24" i="1"/>
  <c r="BD14" i="1"/>
  <c r="BD28" i="1"/>
  <c r="BD29" i="1"/>
  <c r="BD27" i="1"/>
  <c r="BD25" i="1"/>
  <c r="BD5" i="4"/>
  <c r="BD7" i="4"/>
  <c r="BD4" i="4"/>
  <c r="BD8" i="4"/>
  <c r="BD22" i="4"/>
  <c r="BD18" i="4"/>
  <c r="BD19" i="4"/>
  <c r="BD3" i="4"/>
  <c r="BD20" i="4"/>
  <c r="BD11" i="4"/>
  <c r="BD2" i="4"/>
  <c r="BD12" i="4"/>
  <c r="BD17" i="4"/>
  <c r="BD26" i="4"/>
  <c r="BD24" i="4"/>
  <c r="BD6" i="4"/>
  <c r="BD23" i="4"/>
  <c r="BD21" i="4"/>
  <c r="BD10" i="4"/>
  <c r="BD15" i="4"/>
  <c r="BD14" i="4"/>
  <c r="BD9" i="4"/>
  <c r="BD25" i="4"/>
  <c r="BD16" i="4"/>
  <c r="AZ12" i="1"/>
  <c r="AZ23" i="1"/>
  <c r="AZ2" i="1"/>
  <c r="AZ11" i="1"/>
  <c r="AZ15" i="1"/>
  <c r="AZ4" i="1"/>
  <c r="AZ17" i="1"/>
  <c r="AZ5" i="1"/>
  <c r="AZ3" i="1"/>
  <c r="AZ13" i="1"/>
  <c r="AZ6" i="1"/>
  <c r="AZ8" i="1"/>
  <c r="AZ16" i="1"/>
  <c r="AZ27" i="1"/>
  <c r="AZ7" i="1"/>
  <c r="AZ28" i="1"/>
  <c r="AZ10" i="1"/>
  <c r="AZ26" i="1"/>
  <c r="AZ29" i="1"/>
  <c r="AZ19" i="1"/>
  <c r="AZ9" i="1"/>
  <c r="AZ25" i="1"/>
  <c r="AZ21" i="1"/>
  <c r="AZ22" i="1"/>
  <c r="AZ24" i="1"/>
  <c r="AZ14" i="1"/>
  <c r="AZ20" i="1"/>
  <c r="AZ18" i="1"/>
  <c r="AZ4" i="4"/>
  <c r="AZ18" i="4"/>
  <c r="AZ2" i="4"/>
  <c r="AZ9" i="4"/>
  <c r="AZ26" i="4"/>
  <c r="AZ7" i="4"/>
  <c r="AZ5" i="4"/>
  <c r="AZ3" i="4"/>
  <c r="AZ23" i="4"/>
  <c r="AZ19" i="4"/>
  <c r="AZ15" i="4"/>
  <c r="AZ24" i="4"/>
  <c r="AZ21" i="4"/>
  <c r="AZ11" i="4"/>
  <c r="AZ12" i="4"/>
  <c r="AZ14" i="4"/>
  <c r="AZ16" i="4"/>
  <c r="AZ8" i="4"/>
  <c r="AZ20" i="4"/>
  <c r="AZ17" i="4"/>
  <c r="AZ25" i="4"/>
  <c r="AZ10" i="4"/>
  <c r="AZ6" i="4"/>
  <c r="AZ22" i="4"/>
  <c r="AO12" i="1"/>
  <c r="AO13" i="1"/>
  <c r="AO14" i="1"/>
  <c r="AO11" i="1"/>
  <c r="AO21" i="1"/>
  <c r="AO24" i="1"/>
  <c r="AO19" i="1"/>
  <c r="AO9" i="1"/>
  <c r="AO4" i="1"/>
  <c r="AO5" i="1"/>
  <c r="AO2" i="1"/>
  <c r="AO18" i="1"/>
  <c r="AO23" i="1"/>
  <c r="AO7" i="1"/>
  <c r="AO15" i="1"/>
  <c r="AO17" i="1"/>
  <c r="AO25" i="1"/>
  <c r="AO22" i="1"/>
  <c r="AO29" i="1"/>
  <c r="AO16" i="1"/>
  <c r="AO27" i="1"/>
  <c r="AO28" i="1"/>
  <c r="AO6" i="1"/>
  <c r="AO8" i="1"/>
  <c r="AO20" i="1"/>
  <c r="AO3" i="1"/>
  <c r="AO26" i="1"/>
  <c r="AO10" i="1"/>
  <c r="AO18" i="4"/>
  <c r="AO19" i="4"/>
  <c r="AO23" i="4"/>
  <c r="AO21" i="4"/>
  <c r="AO3" i="4"/>
  <c r="AO24" i="4"/>
  <c r="AO25" i="4"/>
  <c r="AO16" i="4"/>
  <c r="AO10" i="4"/>
  <c r="AO9" i="4"/>
  <c r="AO14" i="4"/>
  <c r="AO8" i="4"/>
  <c r="AO12" i="4"/>
  <c r="AO17" i="4"/>
  <c r="AO2" i="4"/>
  <c r="AO5" i="4"/>
  <c r="AO6" i="4"/>
  <c r="AO4" i="4"/>
  <c r="AO11" i="4"/>
  <c r="AO7" i="4"/>
  <c r="AO20" i="4"/>
  <c r="AO15" i="4"/>
  <c r="AO26" i="4"/>
  <c r="AO22" i="4"/>
  <c r="AK12" i="1"/>
  <c r="AK13" i="1"/>
  <c r="AK14" i="1"/>
  <c r="AK11" i="1"/>
  <c r="AK21" i="1"/>
  <c r="AK24" i="1"/>
  <c r="AK19" i="1"/>
  <c r="AK9" i="1"/>
  <c r="AK4" i="1"/>
  <c r="AK5" i="1"/>
  <c r="AK2" i="1"/>
  <c r="AK18" i="1"/>
  <c r="AK23" i="1"/>
  <c r="AK7" i="1"/>
  <c r="AK15" i="1"/>
  <c r="AK17" i="1"/>
  <c r="AK25" i="1"/>
  <c r="AK22" i="1"/>
  <c r="AK29" i="1"/>
  <c r="AK16" i="1"/>
  <c r="AK27" i="1"/>
  <c r="AK28" i="1"/>
  <c r="AK6" i="1"/>
  <c r="AK8" i="1"/>
  <c r="AK20" i="1"/>
  <c r="AK3" i="1"/>
  <c r="AK26" i="1"/>
  <c r="AK10" i="1"/>
  <c r="AK18" i="4"/>
  <c r="AK19" i="4"/>
  <c r="AK23" i="4"/>
  <c r="AK21" i="4"/>
  <c r="AK3" i="4"/>
  <c r="AK24" i="4"/>
  <c r="AK25" i="4"/>
  <c r="AK16" i="4"/>
  <c r="AK10" i="4"/>
  <c r="AK9" i="4"/>
  <c r="AK14" i="4"/>
  <c r="AK8" i="4"/>
  <c r="AK12" i="4"/>
  <c r="AK17" i="4"/>
  <c r="AK2" i="4"/>
  <c r="AK5" i="4"/>
  <c r="AK6" i="4"/>
  <c r="AK4" i="4"/>
  <c r="AK11" i="4"/>
  <c r="AK7" i="4"/>
  <c r="AK20" i="4"/>
  <c r="AK15" i="4"/>
  <c r="AK26" i="4"/>
  <c r="AK22" i="4"/>
  <c r="AD10" i="1"/>
  <c r="AD12" i="1"/>
  <c r="AD13" i="1"/>
  <c r="AD14" i="1"/>
  <c r="AD11" i="1"/>
  <c r="AD21" i="1"/>
  <c r="AD24" i="1"/>
  <c r="AD19" i="1"/>
  <c r="AD9" i="1"/>
  <c r="AD4" i="1"/>
  <c r="AD5" i="1"/>
  <c r="AD2" i="1"/>
  <c r="AD18" i="1"/>
  <c r="AD23" i="1"/>
  <c r="AD7" i="1"/>
  <c r="AD15" i="1"/>
  <c r="AD17" i="1"/>
  <c r="AD25" i="1"/>
  <c r="AD22" i="1"/>
  <c r="AD29" i="1"/>
  <c r="AD16" i="1"/>
  <c r="AD27" i="1"/>
  <c r="AD28" i="1"/>
  <c r="AD6" i="1"/>
  <c r="AD8" i="1"/>
  <c r="AD20" i="1"/>
  <c r="AD3" i="1"/>
  <c r="AD26" i="1"/>
  <c r="AD18" i="4"/>
  <c r="AD19" i="4"/>
  <c r="AD23" i="4"/>
  <c r="AD21" i="4"/>
  <c r="AD3" i="4"/>
  <c r="AD24" i="4"/>
  <c r="AD25" i="4"/>
  <c r="AD16" i="4"/>
  <c r="AD10" i="4"/>
  <c r="AD9" i="4"/>
  <c r="AD14" i="4"/>
  <c r="AD8" i="4"/>
  <c r="AD12" i="4"/>
  <c r="AD17" i="4"/>
  <c r="AD2" i="4"/>
  <c r="AD5" i="4"/>
  <c r="AD6" i="4"/>
  <c r="AD4" i="4"/>
  <c r="AD11" i="4"/>
  <c r="AD7" i="4"/>
  <c r="AD20" i="4"/>
  <c r="AD15" i="4"/>
  <c r="AD13" i="4"/>
  <c r="AD26" i="4"/>
  <c r="AD22" i="4"/>
  <c r="U10" i="1"/>
  <c r="V10" i="1"/>
  <c r="U12" i="1"/>
  <c r="V12" i="1"/>
  <c r="U13" i="1"/>
  <c r="V13" i="1"/>
  <c r="U14" i="1"/>
  <c r="V14" i="1"/>
  <c r="U11" i="1"/>
  <c r="V11" i="1"/>
  <c r="U21" i="1"/>
  <c r="V21" i="1"/>
  <c r="U24" i="1"/>
  <c r="V24" i="1"/>
  <c r="U19" i="1"/>
  <c r="V19" i="1"/>
  <c r="U9" i="1"/>
  <c r="V9" i="1"/>
  <c r="U4" i="1"/>
  <c r="V4" i="1"/>
  <c r="U5" i="1"/>
  <c r="V5" i="1"/>
  <c r="U2" i="1"/>
  <c r="V2" i="1"/>
  <c r="U18" i="1"/>
  <c r="V18" i="1"/>
  <c r="U23" i="1"/>
  <c r="V23" i="1"/>
  <c r="U7" i="1"/>
  <c r="V7" i="1"/>
  <c r="U15" i="1"/>
  <c r="V15" i="1"/>
  <c r="U17" i="1"/>
  <c r="V17" i="1"/>
  <c r="U25" i="1"/>
  <c r="V25" i="1"/>
  <c r="U22" i="1"/>
  <c r="V22" i="1"/>
  <c r="U29" i="1"/>
  <c r="V29" i="1"/>
  <c r="U16" i="1"/>
  <c r="V16" i="1"/>
  <c r="U27" i="1"/>
  <c r="V27" i="1"/>
  <c r="U28" i="1"/>
  <c r="V28" i="1"/>
  <c r="U6" i="1"/>
  <c r="V6" i="1"/>
  <c r="U8" i="1"/>
  <c r="V8" i="1"/>
  <c r="U20" i="1"/>
  <c r="V20" i="1"/>
  <c r="U3" i="1"/>
  <c r="V3" i="1"/>
  <c r="U26" i="1"/>
  <c r="V26" i="1"/>
  <c r="T12" i="1"/>
  <c r="T13" i="1"/>
  <c r="T14" i="1"/>
  <c r="T11" i="1"/>
  <c r="T21" i="1"/>
  <c r="T24" i="1"/>
  <c r="T19" i="1"/>
  <c r="T9" i="1"/>
  <c r="T4" i="1"/>
  <c r="T5" i="1"/>
  <c r="T2" i="1"/>
  <c r="T18" i="1"/>
  <c r="T23" i="1"/>
  <c r="T7" i="1"/>
  <c r="T15" i="1"/>
  <c r="T17" i="1"/>
  <c r="T25" i="1"/>
  <c r="T22" i="1"/>
  <c r="T29" i="1"/>
  <c r="T16" i="1"/>
  <c r="T27" i="1"/>
  <c r="T28" i="1"/>
  <c r="T6" i="1"/>
  <c r="T8" i="1"/>
  <c r="T20" i="1"/>
  <c r="T3" i="1"/>
  <c r="T26" i="1"/>
  <c r="T10" i="1"/>
  <c r="T22" i="4"/>
  <c r="T21" i="4"/>
  <c r="T9" i="4"/>
  <c r="T2" i="4"/>
  <c r="T3" i="4"/>
  <c r="T16" i="4"/>
  <c r="T18" i="4"/>
  <c r="T23" i="4"/>
  <c r="V22" i="4"/>
  <c r="V5" i="4"/>
  <c r="V6" i="4"/>
  <c r="V4" i="4"/>
  <c r="V11" i="4"/>
  <c r="V7" i="4"/>
  <c r="V26" i="4"/>
  <c r="U26" i="4"/>
  <c r="V13" i="4"/>
  <c r="U13" i="4"/>
  <c r="V15" i="4"/>
  <c r="U15" i="4"/>
  <c r="V20" i="4"/>
  <c r="U20" i="4"/>
  <c r="U7" i="4"/>
  <c r="U11" i="4"/>
  <c r="U4" i="4"/>
  <c r="U6" i="4"/>
  <c r="U5" i="4"/>
  <c r="V2" i="4"/>
  <c r="U2" i="4"/>
  <c r="V17" i="4"/>
  <c r="U17" i="4"/>
  <c r="V12" i="4"/>
  <c r="U12" i="4"/>
  <c r="V8" i="4"/>
  <c r="U8" i="4"/>
  <c r="V14" i="4"/>
  <c r="U14" i="4"/>
  <c r="V9" i="4"/>
  <c r="U9" i="4"/>
  <c r="V10" i="4"/>
  <c r="U10" i="4"/>
  <c r="V16" i="4"/>
  <c r="U16" i="4"/>
  <c r="V25" i="4"/>
  <c r="U25" i="4"/>
  <c r="V24" i="4"/>
  <c r="U24" i="4"/>
  <c r="V3" i="4"/>
  <c r="U3" i="4"/>
  <c r="V21" i="4"/>
  <c r="U21" i="4"/>
  <c r="V23" i="4"/>
  <c r="U23" i="4"/>
  <c r="V19" i="4"/>
  <c r="U19" i="4"/>
  <c r="V18" i="4"/>
  <c r="U18" i="4"/>
  <c r="U22" i="4"/>
  <c r="T19" i="4"/>
  <c r="T24" i="4"/>
  <c r="T25" i="4"/>
  <c r="T10" i="4"/>
  <c r="T14" i="4"/>
  <c r="T8" i="4"/>
  <c r="T12" i="4"/>
  <c r="T17" i="4"/>
  <c r="T5" i="4"/>
  <c r="T6" i="4"/>
  <c r="T4" i="4"/>
  <c r="T11" i="4"/>
  <c r="T7" i="4"/>
  <c r="T20" i="4"/>
  <c r="T15" i="4"/>
  <c r="T13" i="4"/>
  <c r="T26" i="4"/>
  <c r="AS12" i="1"/>
  <c r="AS13" i="1"/>
  <c r="AS14" i="1"/>
  <c r="AS11" i="1"/>
  <c r="AS21" i="1"/>
  <c r="AS24" i="1"/>
  <c r="AS19" i="1"/>
  <c r="AS9" i="1"/>
  <c r="AS4" i="1"/>
  <c r="AS5" i="1"/>
  <c r="AS2" i="1"/>
  <c r="AS18" i="1"/>
  <c r="AS23" i="1"/>
  <c r="AS7" i="1"/>
  <c r="AS15" i="1"/>
  <c r="AS17" i="1"/>
  <c r="AS25" i="1"/>
  <c r="AS22" i="1"/>
  <c r="AS29" i="1"/>
  <c r="AS16" i="1"/>
  <c r="AS27" i="1"/>
  <c r="AS28" i="1"/>
  <c r="AS6" i="1"/>
  <c r="AS8" i="1"/>
  <c r="AS20" i="1"/>
  <c r="AS3" i="1"/>
  <c r="AS26" i="1"/>
  <c r="AS10" i="1"/>
  <c r="AS18" i="4"/>
  <c r="AS19" i="4"/>
  <c r="AS23" i="4"/>
  <c r="AS21" i="4"/>
  <c r="AS3" i="4"/>
  <c r="AS24" i="4"/>
  <c r="AS25" i="4"/>
  <c r="AS16" i="4"/>
  <c r="AS10" i="4"/>
  <c r="AS9" i="4"/>
  <c r="AS14" i="4"/>
  <c r="AS8" i="4"/>
  <c r="AS12" i="4"/>
  <c r="AS17" i="4"/>
  <c r="AS2" i="4"/>
  <c r="AS5" i="4"/>
  <c r="AS6" i="4"/>
  <c r="AS4" i="4"/>
  <c r="AS11" i="4"/>
  <c r="AS7" i="4"/>
  <c r="AS20" i="4"/>
  <c r="AS15" i="4"/>
  <c r="AS26" i="4"/>
  <c r="AS22" i="4"/>
  <c r="Z12" i="1"/>
  <c r="Z13" i="1"/>
  <c r="Z14" i="1"/>
  <c r="Z11" i="1"/>
  <c r="Z21" i="1"/>
  <c r="Z24" i="1"/>
  <c r="Z19" i="1"/>
  <c r="Z9" i="1"/>
  <c r="Z4" i="1"/>
  <c r="Z5" i="1"/>
  <c r="Z2" i="1"/>
  <c r="Z18" i="1"/>
  <c r="Z23" i="1"/>
  <c r="Z7" i="1"/>
  <c r="Z15" i="1"/>
  <c r="Z17" i="1"/>
  <c r="Z25" i="1"/>
  <c r="Z22" i="1"/>
  <c r="Z29" i="1"/>
  <c r="Z16" i="1"/>
  <c r="Z27" i="1"/>
  <c r="Z28" i="1"/>
  <c r="Z6" i="1"/>
  <c r="Z8" i="1"/>
  <c r="Z20" i="1"/>
  <c r="Z3" i="1"/>
  <c r="Z26" i="1"/>
  <c r="Z10" i="1"/>
  <c r="Z18" i="4"/>
  <c r="Z19" i="4"/>
  <c r="Z23" i="4"/>
  <c r="Z21" i="4"/>
  <c r="Z3" i="4"/>
  <c r="Z24" i="4"/>
  <c r="Z25" i="4"/>
  <c r="Z16" i="4"/>
  <c r="Z10" i="4"/>
  <c r="Z9" i="4"/>
  <c r="Z14" i="4"/>
  <c r="Z8" i="4"/>
  <c r="Z12" i="4"/>
  <c r="Z17" i="4"/>
  <c r="Z2" i="4"/>
  <c r="Z5" i="4"/>
  <c r="Z6" i="4"/>
  <c r="Z4" i="4"/>
  <c r="Z11" i="4"/>
  <c r="Z7" i="4"/>
  <c r="Z20" i="4"/>
  <c r="Z15" i="4"/>
  <c r="Z13" i="4"/>
  <c r="Z26" i="4"/>
  <c r="Z22" i="4"/>
</calcChain>
</file>

<file path=xl/sharedStrings.xml><?xml version="1.0" encoding="utf-8"?>
<sst xmlns="http://schemas.openxmlformats.org/spreadsheetml/2006/main" count="270" uniqueCount="130">
  <si>
    <t>WPID</t>
  </si>
  <si>
    <t>WP211001</t>
  </si>
  <si>
    <t>WP213101</t>
  </si>
  <si>
    <t>WP213066</t>
  </si>
  <si>
    <t>WP213029</t>
  </si>
  <si>
    <t>WP212002</t>
  </si>
  <si>
    <t>WP213073</t>
  </si>
  <si>
    <t>WP213051</t>
  </si>
  <si>
    <t>WP213056</t>
  </si>
  <si>
    <t>WP214057</t>
  </si>
  <si>
    <t>WP214011</t>
  </si>
  <si>
    <t>WP214005</t>
  </si>
  <si>
    <t>WP213138</t>
  </si>
  <si>
    <t>WP214040</t>
  </si>
  <si>
    <t>WP212048</t>
  </si>
  <si>
    <t>WP213136</t>
  </si>
  <si>
    <t>WP213083</t>
  </si>
  <si>
    <t>WP214051</t>
  </si>
  <si>
    <t>WP213005</t>
  </si>
  <si>
    <t>WP211011</t>
  </si>
  <si>
    <t>WP213043</t>
  </si>
  <si>
    <t>WP213106</t>
  </si>
  <si>
    <t>WP213052</t>
  </si>
  <si>
    <t>WP213090</t>
  </si>
  <si>
    <t>WP212007</t>
  </si>
  <si>
    <t>WP213036</t>
  </si>
  <si>
    <t>WP213041</t>
  </si>
  <si>
    <t>WP213122</t>
  </si>
  <si>
    <t>WP212009</t>
  </si>
  <si>
    <t>Peak AST</t>
  </si>
  <si>
    <t>EAD</t>
  </si>
  <si>
    <t>Free Hb (g/L) P1</t>
  </si>
  <si>
    <t>Free Hb (g/L) P2</t>
  </si>
  <si>
    <t>Free Hb (g/L) P3</t>
  </si>
  <si>
    <t>Haemolysis Index P1</t>
  </si>
  <si>
    <t>Haemolysis Index P2</t>
  </si>
  <si>
    <t>Haemolysis Index P3</t>
  </si>
  <si>
    <t>Urea (mmol/L) P1</t>
  </si>
  <si>
    <t>Urea (mmol/L) P2</t>
  </si>
  <si>
    <t>Urea (mmol/L) P3</t>
  </si>
  <si>
    <t>Creatinine (µmol/L) P1</t>
  </si>
  <si>
    <t>Creatinine (µmol/L) P2</t>
  </si>
  <si>
    <t>Creatinine (µmol/L) P3</t>
  </si>
  <si>
    <t>Sodium (mmol/L) P1</t>
  </si>
  <si>
    <t>Sodium (mmol/L) P2</t>
  </si>
  <si>
    <t>Sodium (mmol/L) P3</t>
  </si>
  <si>
    <t>Bilirubin (µmol/L) P1</t>
  </si>
  <si>
    <t>Bilirubin (µmol/L) P2</t>
  </si>
  <si>
    <t>Bilirubin (µmol/L) P3</t>
  </si>
  <si>
    <t>ALT (U/L) P1</t>
  </si>
  <si>
    <t>ALT (U/L) P2</t>
  </si>
  <si>
    <t>ALT (U/L) P3</t>
  </si>
  <si>
    <t>AST (U/L) P1</t>
  </si>
  <si>
    <t>AST (U/L) P2</t>
  </si>
  <si>
    <t>AST (U/L) P3</t>
  </si>
  <si>
    <t>Alk Phos (U/L) P1</t>
  </si>
  <si>
    <t>Alk Phos (U/L) P2</t>
  </si>
  <si>
    <t>Alk Phos (U/L) P3</t>
  </si>
  <si>
    <t>GGT (U/L) P1</t>
  </si>
  <si>
    <t>GGT (U/L) P2</t>
  </si>
  <si>
    <t>GGT (U/L) P3</t>
  </si>
  <si>
    <t>Albumin (g/L) P1</t>
  </si>
  <si>
    <t>Albumin (g/L) P2</t>
  </si>
  <si>
    <t>Albumin (g/L) P3</t>
  </si>
  <si>
    <t>Calcium (mmol/L) P1</t>
  </si>
  <si>
    <t>Calcium (mmol/L) P2</t>
  </si>
  <si>
    <t>Calcium (mmol/L) P3</t>
  </si>
  <si>
    <t>Phosphate (mmol/L) P1</t>
  </si>
  <si>
    <t>Phosphate (mmol/L) P2</t>
  </si>
  <si>
    <t>Phosphate (mmol/L) P3</t>
  </si>
  <si>
    <t>LDH (U/L) P1</t>
  </si>
  <si>
    <t>LDH (U/L) P2</t>
  </si>
  <si>
    <t>LDH (U/L) P3</t>
  </si>
  <si>
    <t>CRP (mg/L) P1</t>
  </si>
  <si>
    <t>CRP (mg/L) P2</t>
  </si>
  <si>
    <t>CRP (mg/L) P3</t>
  </si>
  <si>
    <t>Lactate (mmol/L) P1</t>
  </si>
  <si>
    <t>Lactate (mmol/L) P2</t>
  </si>
  <si>
    <t>Lactate (mmol/L) P3</t>
  </si>
  <si>
    <t>Glucose (mmol/L) P1</t>
  </si>
  <si>
    <t>Glucose (mmol/L) P2</t>
  </si>
  <si>
    <t>Glucose (mmol/L) P3</t>
  </si>
  <si>
    <t>Post-reperfusion Syndrome</t>
  </si>
  <si>
    <t>WP213017</t>
  </si>
  <si>
    <t>WP213096</t>
  </si>
  <si>
    <t>WP213003</t>
  </si>
  <si>
    <t>WP213078</t>
  </si>
  <si>
    <t>WP213084</t>
  </si>
  <si>
    <t>WP214052</t>
  </si>
  <si>
    <t>WP214034</t>
  </si>
  <si>
    <t>WP211031</t>
  </si>
  <si>
    <t>WP213018</t>
  </si>
  <si>
    <t>WP213107</t>
  </si>
  <si>
    <t>WP212040</t>
  </si>
  <si>
    <t>WP214014</t>
  </si>
  <si>
    <t>WP213109</t>
  </si>
  <si>
    <t>WP213012</t>
  </si>
  <si>
    <t>WP211026</t>
  </si>
  <si>
    <t>WP213123</t>
  </si>
  <si>
    <t>WP211004</t>
  </si>
  <si>
    <t>WP211037</t>
  </si>
  <si>
    <t>WP213027</t>
  </si>
  <si>
    <t>WP212046</t>
  </si>
  <si>
    <t>WP213126</t>
  </si>
  <si>
    <t>WP213087</t>
  </si>
  <si>
    <t>WP213127</t>
  </si>
  <si>
    <t>WP213062</t>
  </si>
  <si>
    <t>WP212001</t>
  </si>
  <si>
    <t>Critical Care Duration (days)</t>
  </si>
  <si>
    <t>NMP Duration (mins)</t>
  </si>
  <si>
    <t>6 month Graft Survival</t>
  </si>
  <si>
    <t>6 month patient survival</t>
  </si>
  <si>
    <t>6 month Patient Survival</t>
  </si>
  <si>
    <t>P3-P1</t>
  </si>
  <si>
    <t>Donor Age (years)</t>
  </si>
  <si>
    <t>Donor Sex</t>
  </si>
  <si>
    <t>Donor BMI</t>
  </si>
  <si>
    <t>UK-DRI</t>
  </si>
  <si>
    <t>ET-DRI</t>
  </si>
  <si>
    <t>Steatosis</t>
  </si>
  <si>
    <t>Donor Type</t>
  </si>
  <si>
    <t>Recipeint Age</t>
  </si>
  <si>
    <t>Recipient Sex</t>
  </si>
  <si>
    <t>MELD</t>
  </si>
  <si>
    <t>Recipient BMI</t>
  </si>
  <si>
    <t>Mild</t>
  </si>
  <si>
    <t>None</t>
  </si>
  <si>
    <t>Moderate</t>
  </si>
  <si>
    <t>Severe</t>
  </si>
  <si>
    <t>P2-P1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</si>
</sst>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8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0" fontId="0" fillId="0" borderId="0" xfId="0" applyNumberFormat="1" applyFont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1" fillId="0" borderId="0" xfId="0" applyFont="1"/>
    <xf numFmtId="0" fontId="1" fillId="3" borderId="0" xfId="0" applyFont="1" applyFill="1"/>
    <xf numFmtId="0" fontId="1" fillId="6" borderId="0" xfId="0" applyFont="1" applyFill="1"/>
    <xf numFmtId="0" fontId="1" fillId="5" borderId="0" xfId="0" applyFont="1" applyFill="1"/>
    <xf numFmtId="0" fontId="1" fillId="4" borderId="0" xfId="0" applyFont="1" applyFill="1"/>
    <xf numFmtId="0" fontId="0" fillId="0" borderId="0" xfId="0" applyNumberFormat="1" applyFont="1" applyFill="1"/>
    <xf numFmtId="2" fontId="0" fillId="3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0" fontId="1" fillId="7" borderId="0" xfId="0" applyFont="1" applyFill="1"/>
    <xf numFmtId="0" fontId="0" fillId="7" borderId="0" xfId="0" applyFill="1"/>
  </cellXfs>
  <cellStyles count="18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9"/>
  <sheetViews>
    <sheetView topLeftCell="T1" workbookViewId="0">
      <pane ySplit="1" topLeftCell="A2" activePane="bottomLeft" state="frozen"/>
      <selection pane="bottomLeft" activeCell="Z2" sqref="Z2"/>
    </sheetView>
  </sheetViews>
  <sheetFormatPr defaultColWidth="11" defaultRowHeight="15.75" x14ac:dyDescent="0.25"/>
  <cols>
    <col min="2" max="3" width="15.125" customWidth="1"/>
    <col min="4" max="7" width="24.5" customWidth="1"/>
    <col min="8" max="19" width="23.875" customWidth="1"/>
    <col min="20" max="20" width="16" style="4" customWidth="1"/>
    <col min="21" max="21" width="16" style="5" customWidth="1"/>
    <col min="22" max="22" width="16" style="6" customWidth="1"/>
    <col min="23" max="23" width="19" style="4" customWidth="1"/>
    <col min="24" max="24" width="18.625" style="8" customWidth="1"/>
    <col min="25" max="25" width="18.375" style="6" customWidth="1"/>
    <col min="26" max="26" width="18.375" style="19" customWidth="1"/>
    <col min="27" max="27" width="17" style="4" customWidth="1"/>
    <col min="28" max="28" width="17.375" style="5" customWidth="1"/>
    <col min="29" max="29" width="17.5" style="6" customWidth="1"/>
    <col min="30" max="30" width="17.5" style="19" customWidth="1"/>
    <col min="31" max="31" width="21.625" style="4" customWidth="1"/>
    <col min="32" max="32" width="21.625" style="5" customWidth="1"/>
    <col min="33" max="33" width="21.625" style="6" customWidth="1"/>
    <col min="34" max="34" width="19.125" style="4" customWidth="1"/>
    <col min="35" max="35" width="19.125" style="5" customWidth="1"/>
    <col min="36" max="36" width="19.125" style="6" customWidth="1"/>
    <col min="37" max="37" width="19.125" style="19" customWidth="1"/>
    <col min="38" max="38" width="18.125" style="4" customWidth="1"/>
    <col min="39" max="39" width="18.125" style="5" customWidth="1"/>
    <col min="40" max="40" width="19" style="6" customWidth="1"/>
    <col min="41" max="41" width="19" style="19" customWidth="1"/>
    <col min="42" max="42" width="10.875" style="4"/>
    <col min="43" max="43" width="11.875" style="5" customWidth="1"/>
    <col min="44" max="44" width="10.875" style="6"/>
    <col min="45" max="45" width="10.875" style="19"/>
    <col min="46" max="46" width="11.625" style="4" customWidth="1"/>
    <col min="47" max="47" width="11.625" style="5" customWidth="1"/>
    <col min="48" max="48" width="11.625" style="6" customWidth="1"/>
    <col min="49" max="49" width="15.875" style="4" customWidth="1"/>
    <col min="50" max="50" width="15.875" style="5" customWidth="1"/>
    <col min="51" max="51" width="15.875" style="6" customWidth="1"/>
    <col min="52" max="52" width="15.875" style="19" customWidth="1"/>
    <col min="53" max="53" width="12" style="4" customWidth="1"/>
    <col min="54" max="54" width="12.875" style="5" customWidth="1"/>
    <col min="55" max="55" width="12" style="6" customWidth="1"/>
    <col min="56" max="56" width="12" style="19" customWidth="1"/>
    <col min="57" max="57" width="16" style="4" customWidth="1"/>
    <col min="58" max="58" width="16" style="5" customWidth="1"/>
    <col min="59" max="59" width="16" style="6" customWidth="1"/>
    <col min="60" max="60" width="19.125" style="4" customWidth="1"/>
    <col min="61" max="61" width="19.125" style="5" customWidth="1"/>
    <col min="62" max="62" width="19.125" style="6" customWidth="1"/>
    <col min="63" max="63" width="19.125" style="19" customWidth="1"/>
    <col min="64" max="64" width="22.625" style="4" customWidth="1"/>
    <col min="65" max="65" width="22.625" style="5" customWidth="1"/>
    <col min="66" max="66" width="22.625" style="6" customWidth="1"/>
    <col min="67" max="67" width="22.625" style="19" customWidth="1"/>
    <col min="68" max="68" width="12.375" style="4" customWidth="1"/>
    <col min="69" max="69" width="12.375" style="5" customWidth="1"/>
    <col min="70" max="70" width="12.375" style="6" customWidth="1"/>
    <col min="71" max="71" width="12.375" style="19" customWidth="1"/>
    <col min="72" max="72" width="13.5" style="4" customWidth="1"/>
    <col min="73" max="73" width="13.5" style="5" customWidth="1"/>
    <col min="74" max="74" width="13.5" style="6" customWidth="1"/>
    <col min="75" max="75" width="13.5" style="19" customWidth="1"/>
    <col min="76" max="76" width="19" style="4" customWidth="1"/>
    <col min="77" max="77" width="18.5" style="5" customWidth="1"/>
    <col min="78" max="78" width="18.5" style="19" customWidth="1"/>
    <col min="79" max="79" width="19" style="6" customWidth="1"/>
    <col min="80" max="80" width="19.5" style="4" customWidth="1"/>
    <col min="81" max="81" width="20.125" style="5" customWidth="1"/>
    <col min="82" max="82" width="18.625" style="6" customWidth="1"/>
  </cols>
  <sheetData>
    <row r="1" spans="1:82" s="9" customFormat="1" x14ac:dyDescent="0.25">
      <c r="A1" s="9" t="s">
        <v>0</v>
      </c>
      <c r="B1" s="9" t="s">
        <v>29</v>
      </c>
      <c r="C1" s="9" t="s">
        <v>30</v>
      </c>
      <c r="D1" s="9" t="s">
        <v>82</v>
      </c>
      <c r="E1" s="9" t="s">
        <v>108</v>
      </c>
      <c r="F1" s="9" t="s">
        <v>110</v>
      </c>
      <c r="G1" s="9" t="s">
        <v>111</v>
      </c>
      <c r="H1" s="9" t="s">
        <v>109</v>
      </c>
      <c r="I1" s="9" t="s">
        <v>120</v>
      </c>
      <c r="J1" s="9" t="s">
        <v>114</v>
      </c>
      <c r="K1" s="9" t="s">
        <v>115</v>
      </c>
      <c r="L1" s="9" t="s">
        <v>116</v>
      </c>
      <c r="M1" s="9" t="s">
        <v>117</v>
      </c>
      <c r="N1" s="9" t="s">
        <v>118</v>
      </c>
      <c r="O1" s="9" t="s">
        <v>119</v>
      </c>
      <c r="P1" s="9" t="s">
        <v>121</v>
      </c>
      <c r="Q1" s="9" t="s">
        <v>122</v>
      </c>
      <c r="R1" s="9" t="s">
        <v>123</v>
      </c>
      <c r="S1" s="9" t="s">
        <v>124</v>
      </c>
      <c r="T1" s="10" t="s">
        <v>31</v>
      </c>
      <c r="U1" s="13" t="s">
        <v>32</v>
      </c>
      <c r="V1" s="12" t="s">
        <v>33</v>
      </c>
      <c r="W1" s="10" t="s">
        <v>34</v>
      </c>
      <c r="X1" s="11" t="s">
        <v>35</v>
      </c>
      <c r="Y1" s="12" t="s">
        <v>36</v>
      </c>
      <c r="Z1" s="18" t="s">
        <v>113</v>
      </c>
      <c r="AA1" s="10" t="s">
        <v>37</v>
      </c>
      <c r="AB1" s="13" t="s">
        <v>38</v>
      </c>
      <c r="AC1" s="12" t="s">
        <v>39</v>
      </c>
      <c r="AD1" s="18" t="s">
        <v>113</v>
      </c>
      <c r="AE1" s="10" t="s">
        <v>40</v>
      </c>
      <c r="AF1" s="13" t="s">
        <v>41</v>
      </c>
      <c r="AG1" s="12" t="s">
        <v>42</v>
      </c>
      <c r="AH1" s="10" t="s">
        <v>43</v>
      </c>
      <c r="AI1" s="13" t="s">
        <v>44</v>
      </c>
      <c r="AJ1" s="12" t="s">
        <v>45</v>
      </c>
      <c r="AK1" s="18" t="s">
        <v>113</v>
      </c>
      <c r="AL1" s="10" t="s">
        <v>46</v>
      </c>
      <c r="AM1" s="13" t="s">
        <v>47</v>
      </c>
      <c r="AN1" s="12" t="s">
        <v>48</v>
      </c>
      <c r="AO1" s="18" t="s">
        <v>113</v>
      </c>
      <c r="AP1" s="10" t="s">
        <v>49</v>
      </c>
      <c r="AQ1" s="13" t="s">
        <v>50</v>
      </c>
      <c r="AR1" s="12" t="s">
        <v>51</v>
      </c>
      <c r="AS1" s="18" t="s">
        <v>113</v>
      </c>
      <c r="AT1" s="10" t="s">
        <v>52</v>
      </c>
      <c r="AU1" s="13" t="s">
        <v>53</v>
      </c>
      <c r="AV1" s="12" t="s">
        <v>54</v>
      </c>
      <c r="AW1" s="10" t="s">
        <v>55</v>
      </c>
      <c r="AX1" s="13" t="s">
        <v>56</v>
      </c>
      <c r="AY1" s="12" t="s">
        <v>57</v>
      </c>
      <c r="AZ1" s="18" t="s">
        <v>113</v>
      </c>
      <c r="BA1" s="10" t="s">
        <v>58</v>
      </c>
      <c r="BB1" s="13" t="s">
        <v>59</v>
      </c>
      <c r="BC1" s="12" t="s">
        <v>60</v>
      </c>
      <c r="BD1" s="18" t="s">
        <v>113</v>
      </c>
      <c r="BE1" s="10" t="s">
        <v>61</v>
      </c>
      <c r="BF1" s="13" t="s">
        <v>62</v>
      </c>
      <c r="BG1" s="12" t="s">
        <v>63</v>
      </c>
      <c r="BH1" s="10" t="s">
        <v>64</v>
      </c>
      <c r="BI1" s="13" t="s">
        <v>65</v>
      </c>
      <c r="BJ1" s="12" t="s">
        <v>66</v>
      </c>
      <c r="BK1" s="18" t="s">
        <v>113</v>
      </c>
      <c r="BL1" s="10" t="s">
        <v>67</v>
      </c>
      <c r="BM1" s="13" t="s">
        <v>68</v>
      </c>
      <c r="BN1" s="12" t="s">
        <v>69</v>
      </c>
      <c r="BO1" s="18" t="s">
        <v>113</v>
      </c>
      <c r="BP1" s="10" t="s">
        <v>70</v>
      </c>
      <c r="BQ1" s="13" t="s">
        <v>71</v>
      </c>
      <c r="BR1" s="12" t="s">
        <v>72</v>
      </c>
      <c r="BS1" s="18" t="s">
        <v>113</v>
      </c>
      <c r="BT1" s="10" t="s">
        <v>73</v>
      </c>
      <c r="BU1" s="13" t="s">
        <v>74</v>
      </c>
      <c r="BV1" s="12" t="s">
        <v>75</v>
      </c>
      <c r="BW1" s="18" t="s">
        <v>113</v>
      </c>
      <c r="BX1" s="10" t="s">
        <v>76</v>
      </c>
      <c r="BY1" s="13" t="s">
        <v>77</v>
      </c>
      <c r="BZ1" s="18" t="s">
        <v>129</v>
      </c>
      <c r="CA1" s="12" t="s">
        <v>78</v>
      </c>
      <c r="CB1" s="10" t="s">
        <v>79</v>
      </c>
      <c r="CC1" s="13" t="s">
        <v>80</v>
      </c>
      <c r="CD1" s="12" t="s">
        <v>81</v>
      </c>
    </row>
    <row r="2" spans="1:82" x14ac:dyDescent="0.25">
      <c r="A2" s="1" t="s">
        <v>12</v>
      </c>
      <c r="B2" s="2">
        <v>165</v>
      </c>
      <c r="C2" s="14">
        <v>1</v>
      </c>
      <c r="D2" s="2">
        <v>2</v>
      </c>
      <c r="E2" s="2">
        <v>3</v>
      </c>
      <c r="F2" s="14">
        <v>1</v>
      </c>
      <c r="G2" s="14">
        <v>1</v>
      </c>
      <c r="H2" s="14">
        <v>546</v>
      </c>
      <c r="I2" s="14">
        <v>1</v>
      </c>
      <c r="J2" s="14">
        <v>43</v>
      </c>
      <c r="K2" s="14">
        <v>2</v>
      </c>
      <c r="L2" s="14">
        <v>21.51</v>
      </c>
      <c r="M2" s="14"/>
      <c r="N2" s="14">
        <v>1.5</v>
      </c>
      <c r="O2" s="14" t="s">
        <v>126</v>
      </c>
      <c r="P2" s="14">
        <v>22</v>
      </c>
      <c r="Q2" s="14">
        <v>1</v>
      </c>
      <c r="R2" s="14">
        <v>16</v>
      </c>
      <c r="S2" s="14">
        <v>22.66</v>
      </c>
      <c r="T2" s="15">
        <f t="shared" ref="T2:T29" si="0">(0.7335*W2)+0.0814</f>
        <v>0.31612000000000001</v>
      </c>
      <c r="U2" s="16">
        <f t="shared" ref="U2:U29" si="1">(0.7335*X2)+0.0814</f>
        <v>0.26477499999999998</v>
      </c>
      <c r="V2" s="17">
        <f t="shared" ref="V2:V29" si="2">(0.7335*Y2)+0.0814</f>
        <v>0.11074000000000001</v>
      </c>
      <c r="W2" s="4">
        <v>0.32</v>
      </c>
      <c r="X2" s="8">
        <v>0.25</v>
      </c>
      <c r="Y2" s="6">
        <v>0.04</v>
      </c>
      <c r="Z2" s="19">
        <f t="shared" ref="Z2:Z29" si="3">Y2-W2</f>
        <v>-0.28000000000000003</v>
      </c>
      <c r="AA2" s="4">
        <v>2.2000000000000002</v>
      </c>
      <c r="AB2" s="5">
        <v>2.9</v>
      </c>
      <c r="AC2" s="6">
        <v>10</v>
      </c>
      <c r="AD2" s="19">
        <f t="shared" ref="AD2:AD29" si="4">AC2-AA2</f>
        <v>7.8</v>
      </c>
      <c r="AE2" s="4">
        <v>20</v>
      </c>
      <c r="AF2" s="5">
        <v>21</v>
      </c>
      <c r="AG2" s="6">
        <v>20</v>
      </c>
      <c r="AH2" s="4">
        <v>160</v>
      </c>
      <c r="AI2" s="5">
        <v>162</v>
      </c>
      <c r="AJ2" s="6">
        <v>166</v>
      </c>
      <c r="AK2" s="19">
        <f t="shared" ref="AK2:AK29" si="5">AJ2-AH2</f>
        <v>6</v>
      </c>
      <c r="AL2" s="4">
        <v>2</v>
      </c>
      <c r="AM2" s="5">
        <v>2</v>
      </c>
      <c r="AN2" s="6">
        <v>2</v>
      </c>
      <c r="AO2" s="19">
        <f t="shared" ref="AO2:AO29" si="6">AN2-AL2</f>
        <v>0</v>
      </c>
      <c r="AP2" s="4">
        <v>78</v>
      </c>
      <c r="AQ2" s="5">
        <v>117</v>
      </c>
      <c r="AR2" s="6">
        <v>122</v>
      </c>
      <c r="AS2" s="19">
        <f t="shared" ref="AS2:AS29" si="7">AR2-AP2</f>
        <v>44</v>
      </c>
      <c r="AW2" s="4">
        <v>19</v>
      </c>
      <c r="AX2" s="5">
        <v>39</v>
      </c>
      <c r="AY2" s="6">
        <v>53</v>
      </c>
      <c r="AZ2" s="19">
        <f t="shared" ref="AZ2:AZ29" si="8">AY2-AW2</f>
        <v>34</v>
      </c>
      <c r="BA2" s="4">
        <v>21</v>
      </c>
      <c r="BB2" s="5">
        <v>50</v>
      </c>
      <c r="BC2" s="6">
        <v>62</v>
      </c>
      <c r="BD2" s="19">
        <f t="shared" ref="BD2:BD29" si="9">BC2-BA2</f>
        <v>41</v>
      </c>
      <c r="BE2" s="4">
        <v>4</v>
      </c>
      <c r="BF2" s="5">
        <v>4</v>
      </c>
      <c r="BG2" s="6">
        <v>4</v>
      </c>
      <c r="BH2" s="4">
        <v>1.5</v>
      </c>
      <c r="BI2" s="5">
        <v>1.42</v>
      </c>
      <c r="BJ2" s="6">
        <v>1.5</v>
      </c>
      <c r="BK2" s="19">
        <f t="shared" ref="BK2:BK29" si="10">BJ2-BH2</f>
        <v>0</v>
      </c>
      <c r="BL2" s="4">
        <v>3.03</v>
      </c>
      <c r="BM2" s="5">
        <v>3.38</v>
      </c>
      <c r="BN2" s="6">
        <v>3.41</v>
      </c>
      <c r="BO2" s="19">
        <f t="shared" ref="BO2:BO29" si="11">BN2-BL2</f>
        <v>0.38000000000000034</v>
      </c>
      <c r="BP2" s="4">
        <v>266</v>
      </c>
      <c r="BQ2" s="5">
        <v>403</v>
      </c>
      <c r="BR2" s="6">
        <v>494</v>
      </c>
      <c r="BS2" s="19">
        <f>BR2-BP2</f>
        <v>228</v>
      </c>
      <c r="BT2" s="4">
        <v>1.3</v>
      </c>
      <c r="BU2" s="5">
        <v>6.1</v>
      </c>
      <c r="BV2" s="6">
        <v>76.2</v>
      </c>
      <c r="BW2" s="19">
        <f>BV2-BT2</f>
        <v>74.900000000000006</v>
      </c>
      <c r="BX2" s="4">
        <v>11.2</v>
      </c>
      <c r="BY2" s="5">
        <v>7.1</v>
      </c>
      <c r="BZ2" s="19">
        <f>BY2-BX2</f>
        <v>-4.0999999999999996</v>
      </c>
      <c r="CA2" s="6">
        <v>0.2</v>
      </c>
      <c r="CB2" s="4">
        <v>32.200000000000003</v>
      </c>
      <c r="CC2" s="5">
        <v>33.5</v>
      </c>
      <c r="CD2" s="6">
        <v>9.5</v>
      </c>
    </row>
    <row r="3" spans="1:82" x14ac:dyDescent="0.25">
      <c r="A3" s="1" t="s">
        <v>27</v>
      </c>
      <c r="B3">
        <v>244</v>
      </c>
      <c r="C3" s="14">
        <v>2</v>
      </c>
      <c r="D3" s="14">
        <v>2</v>
      </c>
      <c r="E3" s="14">
        <v>4</v>
      </c>
      <c r="F3" s="14">
        <v>1</v>
      </c>
      <c r="G3" s="14">
        <v>1</v>
      </c>
      <c r="H3" s="14">
        <v>499</v>
      </c>
      <c r="I3" s="14">
        <v>2</v>
      </c>
      <c r="J3" s="14">
        <v>25</v>
      </c>
      <c r="K3" s="14">
        <v>2</v>
      </c>
      <c r="L3" s="14">
        <v>27.68</v>
      </c>
      <c r="M3" s="14"/>
      <c r="N3" s="14">
        <v>1.82</v>
      </c>
      <c r="O3" s="14" t="s">
        <v>127</v>
      </c>
      <c r="P3" s="14">
        <v>45</v>
      </c>
      <c r="Q3" s="14">
        <v>2</v>
      </c>
      <c r="R3" s="14">
        <v>14</v>
      </c>
      <c r="S3" s="14">
        <v>19.579999999999998</v>
      </c>
      <c r="T3" s="15">
        <f t="shared" si="0"/>
        <v>0.30878499999999998</v>
      </c>
      <c r="U3" s="16">
        <f t="shared" si="1"/>
        <v>0.21343000000000001</v>
      </c>
      <c r="V3" s="17">
        <f t="shared" si="2"/>
        <v>0.11074000000000001</v>
      </c>
      <c r="W3" s="4">
        <v>0.31</v>
      </c>
      <c r="X3" s="8">
        <v>0.18</v>
      </c>
      <c r="Y3" s="6">
        <v>0.04</v>
      </c>
      <c r="Z3" s="19">
        <f t="shared" si="3"/>
        <v>-0.27</v>
      </c>
      <c r="AA3" s="4">
        <v>5.9</v>
      </c>
      <c r="AB3" s="5">
        <v>9.1</v>
      </c>
      <c r="AC3" s="6">
        <v>24.3</v>
      </c>
      <c r="AD3" s="19">
        <f t="shared" si="4"/>
        <v>18.399999999999999</v>
      </c>
      <c r="AE3" s="4">
        <v>134</v>
      </c>
      <c r="AF3" s="5">
        <v>143</v>
      </c>
      <c r="AG3" s="6">
        <v>116</v>
      </c>
      <c r="AH3" s="4">
        <v>153</v>
      </c>
      <c r="AI3" s="5">
        <v>157</v>
      </c>
      <c r="AJ3" s="6">
        <v>162</v>
      </c>
      <c r="AK3" s="19">
        <f t="shared" si="5"/>
        <v>9</v>
      </c>
      <c r="AL3" s="4">
        <v>2</v>
      </c>
      <c r="AM3" s="5">
        <v>2</v>
      </c>
      <c r="AN3" s="6">
        <v>2</v>
      </c>
      <c r="AO3" s="19">
        <f t="shared" si="6"/>
        <v>0</v>
      </c>
      <c r="AP3" s="4">
        <v>92</v>
      </c>
      <c r="AQ3" s="5">
        <v>117</v>
      </c>
      <c r="AR3" s="6">
        <v>205</v>
      </c>
      <c r="AS3" s="19">
        <f t="shared" si="7"/>
        <v>113</v>
      </c>
      <c r="AT3" s="4">
        <v>158</v>
      </c>
      <c r="AW3" s="4">
        <v>7</v>
      </c>
      <c r="AX3" s="5">
        <v>9</v>
      </c>
      <c r="AY3" s="6">
        <v>20</v>
      </c>
      <c r="AZ3" s="19">
        <f t="shared" si="8"/>
        <v>13</v>
      </c>
      <c r="BA3" s="4">
        <v>4</v>
      </c>
      <c r="BB3" s="5">
        <v>5</v>
      </c>
      <c r="BC3" s="6">
        <v>21</v>
      </c>
      <c r="BD3" s="19">
        <f t="shared" si="9"/>
        <v>17</v>
      </c>
      <c r="BE3" s="4">
        <v>4</v>
      </c>
      <c r="BF3" s="5">
        <v>4</v>
      </c>
      <c r="BG3" s="6">
        <v>4</v>
      </c>
      <c r="BH3" s="4">
        <v>1.1100000000000001</v>
      </c>
      <c r="BI3" s="5">
        <v>1.01</v>
      </c>
      <c r="BJ3" s="6">
        <v>1.1399999999999999</v>
      </c>
      <c r="BK3" s="19">
        <f t="shared" si="10"/>
        <v>2.9999999999999805E-2</v>
      </c>
      <c r="BL3" s="4">
        <v>4.96</v>
      </c>
      <c r="BM3" s="5">
        <v>4.9000000000000004</v>
      </c>
      <c r="BN3" s="6">
        <v>5.18</v>
      </c>
      <c r="BO3" s="19">
        <f t="shared" si="11"/>
        <v>0.21999999999999975</v>
      </c>
      <c r="BP3" s="4">
        <v>698</v>
      </c>
      <c r="BR3" s="6">
        <v>1544</v>
      </c>
      <c r="BS3" s="19">
        <f>BR3-BP3</f>
        <v>846</v>
      </c>
      <c r="BT3" s="4">
        <v>4.2</v>
      </c>
      <c r="BV3" s="6">
        <v>28.6</v>
      </c>
      <c r="BW3" s="19">
        <f>BV3-BT3</f>
        <v>24.400000000000002</v>
      </c>
      <c r="BX3" s="4">
        <v>10.5</v>
      </c>
      <c r="BY3" s="5">
        <v>0.5</v>
      </c>
      <c r="BZ3" s="19">
        <f>BY3-BX3</f>
        <v>-10</v>
      </c>
      <c r="CA3" s="6">
        <v>0.4</v>
      </c>
      <c r="CB3" s="4">
        <v>23.5</v>
      </c>
      <c r="CC3" s="5">
        <v>23.7</v>
      </c>
      <c r="CD3" s="6">
        <v>9.3000000000000007</v>
      </c>
    </row>
    <row r="4" spans="1:82" x14ac:dyDescent="0.25">
      <c r="A4" s="1" t="s">
        <v>10</v>
      </c>
      <c r="B4" s="2">
        <v>142</v>
      </c>
      <c r="C4" s="14">
        <v>2</v>
      </c>
      <c r="D4" s="2">
        <v>2</v>
      </c>
      <c r="E4" s="2">
        <v>7</v>
      </c>
      <c r="F4" s="14">
        <v>1</v>
      </c>
      <c r="G4" s="14">
        <v>1</v>
      </c>
      <c r="H4" s="14">
        <v>400</v>
      </c>
      <c r="I4" s="14">
        <v>1</v>
      </c>
      <c r="J4" s="14">
        <v>63</v>
      </c>
      <c r="K4" s="14">
        <v>1</v>
      </c>
      <c r="L4" s="14">
        <v>31.14</v>
      </c>
      <c r="M4" s="14"/>
      <c r="N4" s="14">
        <v>1.97</v>
      </c>
      <c r="O4" s="14" t="s">
        <v>125</v>
      </c>
      <c r="P4" s="14">
        <v>65</v>
      </c>
      <c r="Q4" s="14">
        <v>1</v>
      </c>
      <c r="R4" s="14">
        <v>10</v>
      </c>
      <c r="S4" s="14">
        <v>34.479999999999997</v>
      </c>
      <c r="T4" s="15">
        <f t="shared" si="0"/>
        <v>0.27944500000000005</v>
      </c>
      <c r="U4" s="16">
        <f t="shared" si="1"/>
        <v>0.22810000000000002</v>
      </c>
      <c r="V4" s="17">
        <f t="shared" si="2"/>
        <v>0.12540999999999999</v>
      </c>
      <c r="W4" s="4">
        <v>0.27</v>
      </c>
      <c r="X4" s="8">
        <v>0.2</v>
      </c>
      <c r="Y4" s="6">
        <v>0.06</v>
      </c>
      <c r="Z4" s="19">
        <f t="shared" si="3"/>
        <v>-0.21000000000000002</v>
      </c>
      <c r="AA4" s="4">
        <v>4.2</v>
      </c>
      <c r="AB4" s="5">
        <v>5.2</v>
      </c>
      <c r="AC4" s="6">
        <v>12.4</v>
      </c>
      <c r="AD4" s="19">
        <f t="shared" si="4"/>
        <v>8.1999999999999993</v>
      </c>
      <c r="AE4" s="4">
        <v>50</v>
      </c>
      <c r="AF4" s="5">
        <v>55</v>
      </c>
      <c r="AG4" s="6">
        <v>55</v>
      </c>
      <c r="AH4" s="4">
        <v>156</v>
      </c>
      <c r="AI4" s="5">
        <v>161</v>
      </c>
      <c r="AJ4" s="6">
        <v>154</v>
      </c>
      <c r="AK4" s="19">
        <f t="shared" si="5"/>
        <v>-2</v>
      </c>
      <c r="AL4" s="4">
        <v>2</v>
      </c>
      <c r="AM4" s="5">
        <v>2</v>
      </c>
      <c r="AN4" s="6">
        <v>53</v>
      </c>
      <c r="AO4" s="19">
        <f t="shared" si="6"/>
        <v>51</v>
      </c>
      <c r="AP4" s="4">
        <v>64</v>
      </c>
      <c r="AQ4" s="5">
        <v>81</v>
      </c>
      <c r="AR4" s="6">
        <v>140</v>
      </c>
      <c r="AS4" s="19">
        <f t="shared" si="7"/>
        <v>76</v>
      </c>
      <c r="AW4" s="4">
        <v>5</v>
      </c>
      <c r="AX4" s="5">
        <v>5</v>
      </c>
      <c r="AY4" s="6">
        <v>66</v>
      </c>
      <c r="AZ4" s="19">
        <f t="shared" si="8"/>
        <v>61</v>
      </c>
      <c r="BA4" s="4">
        <v>4</v>
      </c>
      <c r="BB4" s="5">
        <v>5</v>
      </c>
      <c r="BC4" s="6">
        <v>63</v>
      </c>
      <c r="BD4" s="19">
        <f t="shared" si="9"/>
        <v>59</v>
      </c>
      <c r="BE4" s="4">
        <v>4</v>
      </c>
      <c r="BF4" s="5">
        <v>4</v>
      </c>
      <c r="BG4" s="6">
        <v>4</v>
      </c>
      <c r="BH4" s="4">
        <v>1.32</v>
      </c>
      <c r="BI4" s="5">
        <v>1.22</v>
      </c>
      <c r="BJ4" s="6">
        <v>1.2</v>
      </c>
      <c r="BK4" s="19">
        <f t="shared" si="10"/>
        <v>-0.12000000000000011</v>
      </c>
      <c r="BL4" s="4">
        <v>4.43</v>
      </c>
      <c r="BM4" s="5">
        <v>5.19</v>
      </c>
      <c r="BN4" s="6">
        <v>4.8099999999999996</v>
      </c>
      <c r="BO4" s="19">
        <f t="shared" si="11"/>
        <v>0.37999999999999989</v>
      </c>
      <c r="BQ4" s="5">
        <v>554</v>
      </c>
      <c r="BR4" s="6">
        <v>961</v>
      </c>
      <c r="BU4" s="5">
        <v>41</v>
      </c>
      <c r="BV4" s="6">
        <v>184.1</v>
      </c>
      <c r="BY4" s="5">
        <v>2.4</v>
      </c>
      <c r="CA4" s="6">
        <v>0.8</v>
      </c>
      <c r="CC4" s="5">
        <v>23.3</v>
      </c>
      <c r="CD4" s="6">
        <v>10.3</v>
      </c>
    </row>
    <row r="5" spans="1:82" x14ac:dyDescent="0.25">
      <c r="A5" s="1" t="s">
        <v>11</v>
      </c>
      <c r="B5" s="2">
        <v>151</v>
      </c>
      <c r="C5" s="14">
        <v>2</v>
      </c>
      <c r="D5" s="2">
        <v>2</v>
      </c>
      <c r="E5" s="2">
        <v>2</v>
      </c>
      <c r="F5" s="14">
        <v>1</v>
      </c>
      <c r="G5" s="14">
        <v>1</v>
      </c>
      <c r="H5" s="14">
        <v>288</v>
      </c>
      <c r="I5" s="14">
        <v>1</v>
      </c>
      <c r="J5" s="14">
        <v>55</v>
      </c>
      <c r="K5" s="14">
        <v>2</v>
      </c>
      <c r="L5" s="14">
        <v>22.62</v>
      </c>
      <c r="M5" s="14">
        <v>0.96</v>
      </c>
      <c r="N5" s="14">
        <v>0.77</v>
      </c>
      <c r="O5" s="14" t="s">
        <v>125</v>
      </c>
      <c r="P5" s="14">
        <v>54</v>
      </c>
      <c r="Q5" s="14">
        <v>1</v>
      </c>
      <c r="R5" s="14">
        <v>21</v>
      </c>
      <c r="S5" s="14">
        <v>19.38</v>
      </c>
      <c r="T5" s="15">
        <f t="shared" si="0"/>
        <v>0.27211000000000002</v>
      </c>
      <c r="U5" s="16">
        <f t="shared" si="1"/>
        <v>0.176755</v>
      </c>
      <c r="V5" s="17">
        <f t="shared" si="2"/>
        <v>0.12540999999999999</v>
      </c>
      <c r="W5" s="4">
        <v>0.26</v>
      </c>
      <c r="X5" s="8">
        <v>0.13</v>
      </c>
      <c r="Y5" s="6">
        <v>0.06</v>
      </c>
      <c r="Z5" s="19">
        <f t="shared" si="3"/>
        <v>-0.2</v>
      </c>
      <c r="AA5" s="4">
        <v>3.5</v>
      </c>
      <c r="AB5" s="5">
        <v>3.8</v>
      </c>
      <c r="AC5" s="6">
        <v>9.4</v>
      </c>
      <c r="AD5" s="19">
        <f t="shared" si="4"/>
        <v>5.9</v>
      </c>
      <c r="AE5" s="4">
        <v>19</v>
      </c>
      <c r="AF5" s="5">
        <v>24</v>
      </c>
      <c r="AG5" s="6">
        <v>18</v>
      </c>
      <c r="AH5" s="4">
        <v>145</v>
      </c>
      <c r="AI5" s="5">
        <v>148</v>
      </c>
      <c r="AJ5" s="6">
        <v>137</v>
      </c>
      <c r="AK5" s="19">
        <f t="shared" si="5"/>
        <v>-8</v>
      </c>
      <c r="AL5" s="4">
        <v>2</v>
      </c>
      <c r="AM5" s="5">
        <v>2</v>
      </c>
      <c r="AN5" s="6">
        <v>2</v>
      </c>
      <c r="AO5" s="19">
        <f t="shared" si="6"/>
        <v>0</v>
      </c>
      <c r="AP5" s="4">
        <v>195</v>
      </c>
      <c r="AQ5" s="5">
        <v>127</v>
      </c>
      <c r="AR5" s="6">
        <v>187</v>
      </c>
      <c r="AS5" s="19">
        <f t="shared" si="7"/>
        <v>-8</v>
      </c>
      <c r="AW5" s="4">
        <v>5</v>
      </c>
      <c r="AX5" s="5">
        <v>5</v>
      </c>
      <c r="AY5" s="6">
        <v>8</v>
      </c>
      <c r="AZ5" s="19">
        <f t="shared" si="8"/>
        <v>3</v>
      </c>
      <c r="BA5" s="4">
        <v>4</v>
      </c>
      <c r="BB5" s="5">
        <v>4</v>
      </c>
      <c r="BC5" s="6">
        <v>4</v>
      </c>
      <c r="BD5" s="19">
        <f t="shared" si="9"/>
        <v>0</v>
      </c>
      <c r="BE5" s="4">
        <v>4</v>
      </c>
      <c r="BF5" s="5">
        <v>4</v>
      </c>
      <c r="BG5" s="6">
        <v>4</v>
      </c>
      <c r="BH5" s="4">
        <v>1.42</v>
      </c>
      <c r="BI5" s="5">
        <v>1.19</v>
      </c>
      <c r="BJ5" s="6">
        <v>1.2</v>
      </c>
      <c r="BK5" s="19">
        <f t="shared" si="10"/>
        <v>-0.21999999999999997</v>
      </c>
      <c r="BL5" s="4">
        <v>6.1</v>
      </c>
      <c r="BM5" s="5">
        <v>5.52</v>
      </c>
      <c r="BN5" s="6">
        <v>6.69</v>
      </c>
      <c r="BO5" s="19">
        <f t="shared" si="11"/>
        <v>0.59000000000000075</v>
      </c>
      <c r="BP5" s="4">
        <v>472</v>
      </c>
      <c r="BQ5" s="5">
        <v>397</v>
      </c>
      <c r="BR5" s="6">
        <v>546</v>
      </c>
      <c r="BS5" s="19">
        <f>BR5-BP5</f>
        <v>74</v>
      </c>
      <c r="BT5" s="4">
        <v>7.5</v>
      </c>
      <c r="BU5" s="5">
        <v>12.6</v>
      </c>
      <c r="BV5" s="6">
        <v>92</v>
      </c>
      <c r="BW5" s="19">
        <f>BV5-BT5</f>
        <v>84.5</v>
      </c>
    </row>
    <row r="6" spans="1:82" x14ac:dyDescent="0.25">
      <c r="A6" s="1" t="s">
        <v>24</v>
      </c>
      <c r="B6" s="2">
        <v>214</v>
      </c>
      <c r="C6" s="14">
        <v>2</v>
      </c>
      <c r="D6" s="14">
        <v>2</v>
      </c>
      <c r="E6" s="14">
        <v>2</v>
      </c>
      <c r="F6" s="14">
        <v>1</v>
      </c>
      <c r="G6" s="14">
        <v>1</v>
      </c>
      <c r="H6" s="14">
        <v>864</v>
      </c>
      <c r="I6" s="14">
        <v>1</v>
      </c>
      <c r="J6" s="14">
        <v>57</v>
      </c>
      <c r="K6" s="14">
        <v>1</v>
      </c>
      <c r="L6" s="14">
        <v>27.17</v>
      </c>
      <c r="M6" s="14">
        <v>0.78</v>
      </c>
      <c r="N6" s="14">
        <v>1.47</v>
      </c>
      <c r="O6" s="14" t="s">
        <v>125</v>
      </c>
      <c r="P6" s="14">
        <v>67</v>
      </c>
      <c r="Q6" s="14">
        <v>2</v>
      </c>
      <c r="R6" s="14">
        <v>10</v>
      </c>
      <c r="S6" s="14">
        <v>21.48</v>
      </c>
      <c r="T6" s="15">
        <f t="shared" si="0"/>
        <v>0.25010500000000002</v>
      </c>
      <c r="U6" s="16">
        <f t="shared" si="1"/>
        <v>0.19875999999999999</v>
      </c>
      <c r="V6" s="17">
        <f t="shared" si="2"/>
        <v>0.11807500000000001</v>
      </c>
      <c r="W6" s="4">
        <v>0.23</v>
      </c>
      <c r="X6" s="8">
        <v>0.16</v>
      </c>
      <c r="Y6" s="6">
        <v>0.05</v>
      </c>
      <c r="Z6" s="19">
        <f t="shared" si="3"/>
        <v>-0.18</v>
      </c>
      <c r="AA6" s="4">
        <v>4.5</v>
      </c>
      <c r="AB6" s="5">
        <v>6.5</v>
      </c>
      <c r="AC6" s="6">
        <v>27</v>
      </c>
      <c r="AD6" s="19">
        <f t="shared" si="4"/>
        <v>22.5</v>
      </c>
      <c r="AE6" s="4">
        <v>32</v>
      </c>
      <c r="AF6" s="5">
        <v>35</v>
      </c>
      <c r="AG6" s="6">
        <v>45</v>
      </c>
      <c r="AH6" s="4">
        <v>131</v>
      </c>
      <c r="AI6" s="5">
        <v>130</v>
      </c>
      <c r="AJ6" s="6">
        <v>136</v>
      </c>
      <c r="AK6" s="19">
        <f t="shared" si="5"/>
        <v>5</v>
      </c>
      <c r="AL6" s="4">
        <v>2</v>
      </c>
      <c r="AM6" s="5">
        <v>2</v>
      </c>
      <c r="AN6" s="6">
        <v>2</v>
      </c>
      <c r="AO6" s="19">
        <f t="shared" si="6"/>
        <v>0</v>
      </c>
      <c r="AP6" s="4">
        <v>94</v>
      </c>
      <c r="AQ6" s="5">
        <v>101</v>
      </c>
      <c r="AR6" s="6">
        <v>212</v>
      </c>
      <c r="AS6" s="19">
        <f t="shared" si="7"/>
        <v>118</v>
      </c>
      <c r="AT6" s="4">
        <v>156</v>
      </c>
      <c r="AW6" s="4">
        <v>5</v>
      </c>
      <c r="AX6" s="5">
        <v>6</v>
      </c>
      <c r="AY6" s="6">
        <v>49</v>
      </c>
      <c r="AZ6" s="19">
        <f t="shared" si="8"/>
        <v>44</v>
      </c>
      <c r="BA6" s="4">
        <v>4</v>
      </c>
      <c r="BB6" s="5">
        <v>4</v>
      </c>
      <c r="BC6" s="6">
        <v>16</v>
      </c>
      <c r="BD6" s="19">
        <f t="shared" si="9"/>
        <v>12</v>
      </c>
      <c r="BE6" s="4">
        <v>4</v>
      </c>
      <c r="BF6" s="5">
        <v>4</v>
      </c>
      <c r="BG6" s="6">
        <v>4</v>
      </c>
      <c r="BH6" s="4">
        <v>1.21</v>
      </c>
      <c r="BI6" s="5">
        <v>1.29</v>
      </c>
      <c r="BJ6" s="6">
        <v>1.31</v>
      </c>
      <c r="BK6" s="19">
        <f t="shared" si="10"/>
        <v>0.10000000000000009</v>
      </c>
      <c r="BL6" s="4">
        <v>6.7</v>
      </c>
      <c r="BM6" s="5">
        <v>6.35</v>
      </c>
      <c r="BN6" s="6">
        <v>7.58</v>
      </c>
      <c r="BO6" s="19">
        <f t="shared" si="11"/>
        <v>0.87999999999999989</v>
      </c>
      <c r="BP6" s="4">
        <v>477</v>
      </c>
      <c r="BQ6" s="5">
        <v>528</v>
      </c>
      <c r="BR6" s="6">
        <v>1254</v>
      </c>
      <c r="BS6" s="19">
        <f>BR6-BP6</f>
        <v>777</v>
      </c>
      <c r="BT6" s="4">
        <v>12.3</v>
      </c>
      <c r="BU6" s="5">
        <v>28.8</v>
      </c>
      <c r="BV6" s="6">
        <v>153.9</v>
      </c>
      <c r="BW6" s="19">
        <f>BV6-BT6</f>
        <v>141.6</v>
      </c>
    </row>
    <row r="7" spans="1:82" x14ac:dyDescent="0.25">
      <c r="A7" s="1" t="s">
        <v>15</v>
      </c>
      <c r="B7">
        <v>173</v>
      </c>
      <c r="C7" s="14">
        <v>2</v>
      </c>
      <c r="D7" s="14">
        <v>2</v>
      </c>
      <c r="E7" s="14">
        <v>1</v>
      </c>
      <c r="F7" s="14">
        <v>1</v>
      </c>
      <c r="G7" s="14">
        <v>1</v>
      </c>
      <c r="H7" s="14">
        <v>1117</v>
      </c>
      <c r="I7" s="14">
        <v>1</v>
      </c>
      <c r="J7" s="14">
        <v>58</v>
      </c>
      <c r="K7" s="14">
        <v>2</v>
      </c>
      <c r="L7" s="14">
        <v>24.17</v>
      </c>
      <c r="M7" s="14"/>
      <c r="N7" s="14">
        <v>1.7</v>
      </c>
      <c r="O7" s="14" t="s">
        <v>126</v>
      </c>
      <c r="P7" s="14">
        <v>65</v>
      </c>
      <c r="Q7" s="14">
        <v>1</v>
      </c>
      <c r="R7" s="14">
        <v>11</v>
      </c>
      <c r="S7" s="14">
        <v>24.76</v>
      </c>
      <c r="T7" s="15">
        <f t="shared" si="0"/>
        <v>0.24277000000000001</v>
      </c>
      <c r="U7" s="16">
        <f t="shared" si="1"/>
        <v>0.21343000000000001</v>
      </c>
      <c r="V7" s="17">
        <f t="shared" si="2"/>
        <v>0.14741500000000002</v>
      </c>
      <c r="W7" s="4">
        <v>0.22</v>
      </c>
      <c r="X7" s="8">
        <v>0.18</v>
      </c>
      <c r="Y7" s="6">
        <v>0.09</v>
      </c>
      <c r="Z7" s="19">
        <f t="shared" si="3"/>
        <v>-0.13</v>
      </c>
      <c r="AA7" s="4">
        <v>2.9</v>
      </c>
      <c r="AB7" s="5">
        <v>4.5999999999999996</v>
      </c>
      <c r="AC7" s="6">
        <v>37.5</v>
      </c>
      <c r="AD7" s="19">
        <f t="shared" si="4"/>
        <v>34.6</v>
      </c>
      <c r="AE7" s="4">
        <v>24</v>
      </c>
      <c r="AF7" s="5">
        <v>24</v>
      </c>
      <c r="AG7" s="6">
        <v>32</v>
      </c>
      <c r="AH7" s="4">
        <v>149</v>
      </c>
      <c r="AI7" s="5">
        <v>141</v>
      </c>
      <c r="AJ7" s="6">
        <v>148</v>
      </c>
      <c r="AK7" s="19">
        <f t="shared" si="5"/>
        <v>-1</v>
      </c>
      <c r="AL7" s="4">
        <v>2</v>
      </c>
      <c r="AM7" s="5">
        <v>2</v>
      </c>
      <c r="AN7" s="6">
        <v>2</v>
      </c>
      <c r="AO7" s="19">
        <f t="shared" si="6"/>
        <v>0</v>
      </c>
      <c r="AP7" s="4">
        <v>155</v>
      </c>
      <c r="AQ7" s="5">
        <v>180</v>
      </c>
      <c r="AR7" s="6">
        <v>287</v>
      </c>
      <c r="AS7" s="19">
        <f t="shared" si="7"/>
        <v>132</v>
      </c>
      <c r="AT7" s="4">
        <v>238</v>
      </c>
      <c r="AU7" s="5">
        <v>268</v>
      </c>
      <c r="AW7" s="4">
        <v>5</v>
      </c>
      <c r="AX7" s="5">
        <v>6</v>
      </c>
      <c r="AY7" s="6">
        <v>12</v>
      </c>
      <c r="AZ7" s="19">
        <f t="shared" si="8"/>
        <v>7</v>
      </c>
      <c r="BA7" s="4">
        <v>4</v>
      </c>
      <c r="BB7" s="5">
        <v>9</v>
      </c>
      <c r="BC7" s="6">
        <v>19</v>
      </c>
      <c r="BD7" s="19">
        <f t="shared" si="9"/>
        <v>15</v>
      </c>
      <c r="BE7" s="4">
        <v>4</v>
      </c>
      <c r="BF7" s="5">
        <v>4</v>
      </c>
      <c r="BG7" s="6">
        <v>4</v>
      </c>
      <c r="BH7" s="4">
        <v>1.48</v>
      </c>
      <c r="BI7" s="5">
        <v>1.59</v>
      </c>
      <c r="BJ7" s="6">
        <v>1.48</v>
      </c>
      <c r="BK7" s="19">
        <f t="shared" si="10"/>
        <v>0</v>
      </c>
      <c r="BL7" s="4">
        <v>5.0199999999999996</v>
      </c>
      <c r="BM7" s="5">
        <v>5.66</v>
      </c>
      <c r="BN7" s="6">
        <v>7.06</v>
      </c>
      <c r="BO7" s="19">
        <f t="shared" si="11"/>
        <v>2.04</v>
      </c>
      <c r="BP7" s="4">
        <v>727</v>
      </c>
      <c r="BQ7" s="5">
        <v>906</v>
      </c>
      <c r="BR7" s="6">
        <v>1594</v>
      </c>
      <c r="BS7" s="19">
        <f>BR7-BP7</f>
        <v>867</v>
      </c>
      <c r="BT7" s="4">
        <v>10.9</v>
      </c>
      <c r="BU7" s="5">
        <v>50</v>
      </c>
      <c r="BV7" s="6">
        <v>463.2</v>
      </c>
      <c r="BW7" s="19">
        <f>BV7-BT7</f>
        <v>452.3</v>
      </c>
      <c r="BX7" s="4">
        <v>10.4</v>
      </c>
      <c r="BY7" s="5">
        <v>0.9</v>
      </c>
      <c r="BZ7" s="19">
        <f>BY7-BX7</f>
        <v>-9.5</v>
      </c>
      <c r="CA7" s="6">
        <v>0</v>
      </c>
      <c r="CB7" s="4">
        <v>34</v>
      </c>
      <c r="CC7" s="5">
        <v>31</v>
      </c>
      <c r="CD7" s="6">
        <v>5.0999999999999996</v>
      </c>
    </row>
    <row r="8" spans="1:82" x14ac:dyDescent="0.25">
      <c r="A8" s="1" t="s">
        <v>25</v>
      </c>
      <c r="B8" s="2">
        <v>220</v>
      </c>
      <c r="C8" s="14">
        <v>2</v>
      </c>
      <c r="D8" s="14">
        <v>2</v>
      </c>
      <c r="E8" s="14">
        <v>8</v>
      </c>
      <c r="F8" s="14">
        <v>1</v>
      </c>
      <c r="G8" s="14">
        <v>1</v>
      </c>
      <c r="H8" s="14">
        <v>805</v>
      </c>
      <c r="I8" s="14">
        <v>1</v>
      </c>
      <c r="J8" s="14">
        <v>59</v>
      </c>
      <c r="K8" s="14">
        <v>2</v>
      </c>
      <c r="L8" s="14">
        <v>20.45</v>
      </c>
      <c r="M8" s="14">
        <v>1.21</v>
      </c>
      <c r="N8" s="14"/>
      <c r="O8" s="14" t="s">
        <v>125</v>
      </c>
      <c r="P8" s="14">
        <v>43</v>
      </c>
      <c r="Q8" s="14">
        <v>1</v>
      </c>
      <c r="R8" s="14">
        <v>33</v>
      </c>
      <c r="S8" s="14">
        <v>22.59</v>
      </c>
      <c r="T8" s="15">
        <f t="shared" si="0"/>
        <v>0.16208500000000001</v>
      </c>
      <c r="U8" s="16">
        <f t="shared" si="1"/>
        <v>0.103405</v>
      </c>
      <c r="V8" s="17">
        <f t="shared" si="2"/>
        <v>8.8734999999999994E-2</v>
      </c>
      <c r="W8" s="4">
        <v>0.11</v>
      </c>
      <c r="X8" s="8">
        <v>0.03</v>
      </c>
      <c r="Y8" s="6">
        <v>0.01</v>
      </c>
      <c r="Z8" s="19">
        <f t="shared" si="3"/>
        <v>-0.1</v>
      </c>
      <c r="AA8" s="4">
        <v>4.5</v>
      </c>
      <c r="AB8" s="5">
        <v>7.3</v>
      </c>
      <c r="AC8" s="6">
        <v>33.5</v>
      </c>
      <c r="AD8" s="19">
        <f t="shared" si="4"/>
        <v>29</v>
      </c>
      <c r="AE8" s="4">
        <v>26</v>
      </c>
      <c r="AF8" s="5">
        <v>27</v>
      </c>
      <c r="AG8" s="6">
        <v>30</v>
      </c>
      <c r="AH8" s="4">
        <v>149</v>
      </c>
      <c r="AI8" s="5">
        <v>149</v>
      </c>
      <c r="AJ8" s="6">
        <v>149</v>
      </c>
      <c r="AK8" s="19">
        <f t="shared" si="5"/>
        <v>0</v>
      </c>
      <c r="AL8" s="4">
        <v>2</v>
      </c>
      <c r="AM8" s="5">
        <v>2</v>
      </c>
      <c r="AN8" s="6">
        <v>2</v>
      </c>
      <c r="AO8" s="19">
        <f t="shared" si="6"/>
        <v>0</v>
      </c>
      <c r="AP8" s="4">
        <v>162</v>
      </c>
      <c r="AQ8" s="5">
        <v>179</v>
      </c>
      <c r="AR8" s="6">
        <v>238</v>
      </c>
      <c r="AS8" s="19">
        <f t="shared" si="7"/>
        <v>76</v>
      </c>
      <c r="AW8" s="4">
        <v>8</v>
      </c>
      <c r="AX8" s="5">
        <v>16</v>
      </c>
      <c r="AY8" s="6">
        <v>57</v>
      </c>
      <c r="AZ8" s="19">
        <f t="shared" si="8"/>
        <v>49</v>
      </c>
      <c r="BA8" s="4">
        <v>14</v>
      </c>
      <c r="BB8" s="5">
        <v>25</v>
      </c>
      <c r="BC8" s="6">
        <v>136</v>
      </c>
      <c r="BD8" s="19">
        <f t="shared" si="9"/>
        <v>122</v>
      </c>
      <c r="BE8" s="4">
        <v>4</v>
      </c>
      <c r="BF8" s="5">
        <v>4</v>
      </c>
      <c r="BG8" s="6">
        <v>4</v>
      </c>
      <c r="BH8" s="4">
        <v>1.17</v>
      </c>
      <c r="BI8" s="5">
        <v>1.21</v>
      </c>
      <c r="BJ8" s="6">
        <v>1.25</v>
      </c>
      <c r="BK8" s="19">
        <f t="shared" si="10"/>
        <v>8.0000000000000071E-2</v>
      </c>
      <c r="BL8" s="4">
        <v>5.33</v>
      </c>
      <c r="BM8" s="5">
        <v>4.7699999999999996</v>
      </c>
      <c r="BN8" s="6">
        <v>9.11</v>
      </c>
      <c r="BO8" s="19">
        <f t="shared" si="11"/>
        <v>3.7799999999999994</v>
      </c>
      <c r="BQ8" s="5">
        <v>1531</v>
      </c>
      <c r="BR8" s="6">
        <v>2176</v>
      </c>
      <c r="BU8" s="5">
        <v>18</v>
      </c>
      <c r="BV8" s="6">
        <v>112.6</v>
      </c>
    </row>
    <row r="9" spans="1:82" x14ac:dyDescent="0.25">
      <c r="A9" s="1" t="s">
        <v>9</v>
      </c>
      <c r="B9">
        <v>131</v>
      </c>
      <c r="C9" s="2">
        <v>2</v>
      </c>
      <c r="D9" s="2">
        <v>2</v>
      </c>
      <c r="E9" s="2">
        <v>3</v>
      </c>
      <c r="F9" s="3">
        <v>1</v>
      </c>
      <c r="G9" s="3">
        <v>1</v>
      </c>
      <c r="H9" s="2">
        <v>348</v>
      </c>
      <c r="I9" s="2">
        <v>2</v>
      </c>
      <c r="J9" s="2">
        <v>35</v>
      </c>
      <c r="K9" s="2">
        <v>2</v>
      </c>
      <c r="L9" s="2">
        <v>23.66</v>
      </c>
      <c r="M9" s="2"/>
      <c r="N9" s="2"/>
      <c r="O9" s="2" t="s">
        <v>126</v>
      </c>
      <c r="P9" s="2">
        <v>51</v>
      </c>
      <c r="Q9" s="2">
        <v>2</v>
      </c>
      <c r="R9" s="2">
        <v>12</v>
      </c>
      <c r="S9" s="2">
        <v>24.39</v>
      </c>
      <c r="T9" s="15">
        <f t="shared" si="0"/>
        <v>0.19875999999999999</v>
      </c>
      <c r="U9" s="16">
        <f t="shared" si="1"/>
        <v>0.20609500000000003</v>
      </c>
      <c r="V9" s="17">
        <f t="shared" si="2"/>
        <v>0.132745</v>
      </c>
      <c r="W9" s="4">
        <v>0.16</v>
      </c>
      <c r="X9" s="8">
        <v>0.17</v>
      </c>
      <c r="Y9" s="6">
        <v>7.0000000000000007E-2</v>
      </c>
      <c r="Z9" s="19">
        <f t="shared" si="3"/>
        <v>-0.09</v>
      </c>
      <c r="AA9" s="4">
        <v>4.2</v>
      </c>
      <c r="AB9" s="5">
        <v>5.8</v>
      </c>
      <c r="AC9" s="6">
        <v>14.7</v>
      </c>
      <c r="AD9" s="19">
        <f t="shared" si="4"/>
        <v>10.5</v>
      </c>
      <c r="AE9" s="4">
        <v>21</v>
      </c>
      <c r="AF9" s="5">
        <v>20</v>
      </c>
      <c r="AG9" s="6">
        <v>23</v>
      </c>
      <c r="AH9" s="4">
        <v>149</v>
      </c>
      <c r="AI9" s="5">
        <v>148</v>
      </c>
      <c r="AJ9" s="6">
        <v>152</v>
      </c>
      <c r="AK9" s="19">
        <f t="shared" si="5"/>
        <v>3</v>
      </c>
      <c r="AL9" s="4">
        <v>2</v>
      </c>
      <c r="AM9" s="5">
        <v>2</v>
      </c>
      <c r="AN9" s="6">
        <v>2</v>
      </c>
      <c r="AO9" s="19">
        <f t="shared" si="6"/>
        <v>0</v>
      </c>
      <c r="AP9" s="4">
        <v>387</v>
      </c>
      <c r="AQ9" s="5">
        <v>477</v>
      </c>
      <c r="AR9" s="6">
        <v>644</v>
      </c>
      <c r="AS9" s="19">
        <f t="shared" si="7"/>
        <v>257</v>
      </c>
      <c r="AU9" s="5">
        <v>1277</v>
      </c>
      <c r="AV9" s="6">
        <v>1335</v>
      </c>
      <c r="AW9" s="4">
        <v>15</v>
      </c>
      <c r="AX9" s="5">
        <v>21</v>
      </c>
      <c r="AY9" s="6">
        <v>49</v>
      </c>
      <c r="AZ9" s="19">
        <f t="shared" si="8"/>
        <v>34</v>
      </c>
      <c r="BA9" s="4">
        <v>18</v>
      </c>
      <c r="BB9" s="5">
        <v>44</v>
      </c>
      <c r="BC9" s="6">
        <v>141</v>
      </c>
      <c r="BD9" s="19">
        <f t="shared" si="9"/>
        <v>123</v>
      </c>
      <c r="BE9" s="4">
        <v>4</v>
      </c>
      <c r="BF9" s="5">
        <v>4</v>
      </c>
      <c r="BG9" s="6">
        <v>4</v>
      </c>
      <c r="BH9" s="4">
        <v>0.76</v>
      </c>
      <c r="BI9" s="5">
        <v>0.79</v>
      </c>
      <c r="BJ9" s="6">
        <v>0.88</v>
      </c>
      <c r="BK9" s="19">
        <f t="shared" si="10"/>
        <v>0.12</v>
      </c>
      <c r="BL9" s="4">
        <v>6.8</v>
      </c>
      <c r="BM9" s="5">
        <v>7.16</v>
      </c>
      <c r="BN9" s="6">
        <v>7.06</v>
      </c>
      <c r="BO9" s="19">
        <f t="shared" si="11"/>
        <v>0.25999999999999979</v>
      </c>
      <c r="BP9" s="4">
        <v>2534</v>
      </c>
      <c r="BQ9" s="5">
        <v>3189</v>
      </c>
      <c r="BR9" s="6">
        <v>1995</v>
      </c>
      <c r="BS9" s="19">
        <f>BR9-BP9</f>
        <v>-539</v>
      </c>
      <c r="BT9" s="4">
        <v>7.5</v>
      </c>
      <c r="BU9" s="5">
        <v>14.6</v>
      </c>
      <c r="BV9" s="6">
        <v>87.7</v>
      </c>
      <c r="BW9" s="19">
        <f>BV9-BT9</f>
        <v>80.2</v>
      </c>
      <c r="BY9" s="5">
        <v>1</v>
      </c>
      <c r="CA9" s="6">
        <v>0.3</v>
      </c>
      <c r="CC9" s="5">
        <v>3.5</v>
      </c>
      <c r="CD9" s="6">
        <v>9.1999999999999993</v>
      </c>
    </row>
    <row r="10" spans="1:82" x14ac:dyDescent="0.25">
      <c r="A10" s="1" t="s">
        <v>1</v>
      </c>
      <c r="B10" s="2">
        <v>68</v>
      </c>
      <c r="C10" s="2">
        <v>2</v>
      </c>
      <c r="D10" s="2">
        <v>2</v>
      </c>
      <c r="E10" s="2">
        <v>5</v>
      </c>
      <c r="F10" s="2">
        <v>1</v>
      </c>
      <c r="G10" s="2">
        <v>1</v>
      </c>
      <c r="H10" s="2">
        <v>503</v>
      </c>
      <c r="I10" s="2">
        <v>1</v>
      </c>
      <c r="J10" s="2">
        <v>31</v>
      </c>
      <c r="K10" s="2">
        <v>1</v>
      </c>
      <c r="L10" s="2">
        <v>23.89</v>
      </c>
      <c r="M10" s="2">
        <v>0.95</v>
      </c>
      <c r="N10" s="2">
        <v>0.99</v>
      </c>
      <c r="O10" s="2" t="s">
        <v>125</v>
      </c>
      <c r="P10" s="2">
        <v>54</v>
      </c>
      <c r="Q10" s="2">
        <v>1</v>
      </c>
      <c r="R10" s="2">
        <v>10</v>
      </c>
      <c r="S10" s="2">
        <v>36.58</v>
      </c>
      <c r="T10" s="15">
        <f t="shared" si="0"/>
        <v>0.30878499999999998</v>
      </c>
      <c r="U10" s="16">
        <f t="shared" si="1"/>
        <v>0.27944500000000005</v>
      </c>
      <c r="V10" s="17">
        <f t="shared" si="2"/>
        <v>0.24277000000000001</v>
      </c>
      <c r="W10" s="4">
        <v>0.31</v>
      </c>
      <c r="X10" s="8">
        <v>0.27</v>
      </c>
      <c r="Y10" s="6">
        <v>0.22</v>
      </c>
      <c r="Z10" s="19">
        <f t="shared" si="3"/>
        <v>-0.09</v>
      </c>
      <c r="AA10" s="4">
        <v>3.1</v>
      </c>
      <c r="AB10" s="5">
        <v>3.9</v>
      </c>
      <c r="AC10" s="6">
        <v>16</v>
      </c>
      <c r="AD10" s="19">
        <f t="shared" si="4"/>
        <v>12.9</v>
      </c>
      <c r="AE10" s="4">
        <v>19</v>
      </c>
      <c r="AF10" s="5">
        <v>20</v>
      </c>
      <c r="AG10" s="6">
        <v>6</v>
      </c>
      <c r="AH10" s="4">
        <v>144</v>
      </c>
      <c r="AI10" s="5">
        <v>146</v>
      </c>
      <c r="AJ10" s="6">
        <v>138</v>
      </c>
      <c r="AK10" s="19">
        <f t="shared" si="5"/>
        <v>-6</v>
      </c>
      <c r="AL10" s="4">
        <v>2</v>
      </c>
      <c r="AM10" s="5">
        <v>2</v>
      </c>
      <c r="AN10" s="6">
        <v>2</v>
      </c>
      <c r="AO10" s="19">
        <f t="shared" si="6"/>
        <v>0</v>
      </c>
      <c r="AP10" s="4">
        <v>392</v>
      </c>
      <c r="AQ10" s="5">
        <v>405</v>
      </c>
      <c r="AR10" s="6">
        <v>408</v>
      </c>
      <c r="AS10" s="19">
        <f t="shared" si="7"/>
        <v>16</v>
      </c>
      <c r="AV10" s="7">
        <v>351</v>
      </c>
      <c r="AW10" s="4">
        <v>5</v>
      </c>
      <c r="AX10" s="5">
        <v>5</v>
      </c>
      <c r="AY10" s="6">
        <v>7</v>
      </c>
      <c r="AZ10" s="19">
        <f t="shared" si="8"/>
        <v>2</v>
      </c>
      <c r="BA10" s="4">
        <v>4</v>
      </c>
      <c r="BB10" s="5">
        <v>4</v>
      </c>
      <c r="BC10" s="6">
        <v>10</v>
      </c>
      <c r="BD10" s="19">
        <f t="shared" si="9"/>
        <v>6</v>
      </c>
      <c r="BE10" s="4">
        <v>4</v>
      </c>
      <c r="BF10" s="5">
        <v>4</v>
      </c>
      <c r="BG10" s="6">
        <v>4</v>
      </c>
      <c r="BH10" s="4">
        <v>0.73</v>
      </c>
      <c r="BI10" s="5">
        <v>0.5</v>
      </c>
      <c r="BJ10" s="6">
        <v>0.73</v>
      </c>
      <c r="BK10" s="19">
        <f t="shared" si="10"/>
        <v>0</v>
      </c>
      <c r="BL10" s="4">
        <v>4.49</v>
      </c>
      <c r="BM10" s="5">
        <v>4.38</v>
      </c>
      <c r="BN10" s="6">
        <v>4.21</v>
      </c>
      <c r="BO10" s="19">
        <f t="shared" si="11"/>
        <v>-0.28000000000000025</v>
      </c>
      <c r="BQ10" s="5">
        <v>4362</v>
      </c>
      <c r="BR10" s="6">
        <v>1405</v>
      </c>
      <c r="BS10" s="19">
        <f>BR10-BP10</f>
        <v>1405</v>
      </c>
      <c r="BU10" s="5">
        <v>10.8</v>
      </c>
      <c r="BV10" s="6">
        <v>32.1</v>
      </c>
    </row>
    <row r="11" spans="1:82" x14ac:dyDescent="0.25">
      <c r="A11" s="1" t="s">
        <v>5</v>
      </c>
      <c r="B11" s="2">
        <v>103</v>
      </c>
      <c r="C11" s="2">
        <v>1</v>
      </c>
      <c r="D11" s="2">
        <v>2</v>
      </c>
      <c r="E11" s="2">
        <v>72</v>
      </c>
      <c r="F11" s="2">
        <v>2</v>
      </c>
      <c r="G11" s="2">
        <v>2</v>
      </c>
      <c r="H11" s="2">
        <v>767</v>
      </c>
      <c r="I11" s="2">
        <v>1</v>
      </c>
      <c r="J11" s="2">
        <v>78</v>
      </c>
      <c r="K11" s="2">
        <v>2</v>
      </c>
      <c r="L11" s="2">
        <v>26.67</v>
      </c>
      <c r="M11" s="2">
        <v>1.66</v>
      </c>
      <c r="N11" s="2">
        <v>1.59</v>
      </c>
      <c r="O11" s="2" t="s">
        <v>125</v>
      </c>
      <c r="P11" s="2">
        <v>59</v>
      </c>
      <c r="Q11" s="2">
        <v>1</v>
      </c>
      <c r="R11" s="2">
        <v>15</v>
      </c>
      <c r="S11" s="2">
        <v>24.22</v>
      </c>
      <c r="T11" s="15">
        <f t="shared" si="0"/>
        <v>0.19142500000000001</v>
      </c>
      <c r="U11" s="16">
        <f t="shared" si="1"/>
        <v>0.18409000000000003</v>
      </c>
      <c r="V11" s="17">
        <f t="shared" si="2"/>
        <v>0.14741500000000002</v>
      </c>
      <c r="W11" s="4">
        <v>0.15</v>
      </c>
      <c r="X11" s="8">
        <v>0.14000000000000001</v>
      </c>
      <c r="Y11" s="6">
        <v>0.09</v>
      </c>
      <c r="Z11" s="19">
        <f t="shared" si="3"/>
        <v>-0.06</v>
      </c>
      <c r="AA11" s="4">
        <v>3.8</v>
      </c>
      <c r="AB11" s="5">
        <v>5.4</v>
      </c>
      <c r="AC11" s="6">
        <v>19.7</v>
      </c>
      <c r="AD11" s="19">
        <f t="shared" si="4"/>
        <v>15.899999999999999</v>
      </c>
      <c r="AE11" s="4">
        <v>24</v>
      </c>
      <c r="AF11" s="5">
        <v>32</v>
      </c>
      <c r="AG11" s="6">
        <v>31</v>
      </c>
      <c r="AH11" s="4">
        <v>148</v>
      </c>
      <c r="AI11" s="5">
        <v>151</v>
      </c>
      <c r="AJ11" s="6">
        <v>156</v>
      </c>
      <c r="AK11" s="19">
        <f t="shared" si="5"/>
        <v>8</v>
      </c>
      <c r="AL11" s="4">
        <v>2</v>
      </c>
      <c r="AM11" s="5">
        <v>2</v>
      </c>
      <c r="AN11" s="6">
        <v>2</v>
      </c>
      <c r="AO11" s="19">
        <f t="shared" si="6"/>
        <v>0</v>
      </c>
      <c r="AP11" s="4">
        <v>128</v>
      </c>
      <c r="AQ11" s="5">
        <v>78</v>
      </c>
      <c r="AR11" s="6">
        <v>123</v>
      </c>
      <c r="AS11" s="19">
        <f t="shared" si="7"/>
        <v>-5</v>
      </c>
      <c r="AV11" s="6">
        <v>363</v>
      </c>
      <c r="AW11" s="4">
        <v>5</v>
      </c>
      <c r="AX11" s="5">
        <v>9</v>
      </c>
      <c r="AY11" s="6">
        <v>35</v>
      </c>
      <c r="AZ11" s="19">
        <f t="shared" si="8"/>
        <v>30</v>
      </c>
      <c r="BA11" s="4">
        <v>4</v>
      </c>
      <c r="BB11" s="5">
        <v>4</v>
      </c>
      <c r="BC11" s="6">
        <v>22</v>
      </c>
      <c r="BD11" s="19">
        <f t="shared" si="9"/>
        <v>18</v>
      </c>
      <c r="BE11" s="4">
        <v>4</v>
      </c>
      <c r="BF11" s="5">
        <v>4</v>
      </c>
      <c r="BG11" s="6">
        <v>4</v>
      </c>
      <c r="BH11" s="4">
        <v>1.2</v>
      </c>
      <c r="BI11" s="5">
        <v>1.1599999999999999</v>
      </c>
      <c r="BJ11" s="6">
        <v>1.29</v>
      </c>
      <c r="BK11" s="19">
        <f t="shared" si="10"/>
        <v>9.000000000000008E-2</v>
      </c>
      <c r="BL11" s="4">
        <v>5.58</v>
      </c>
      <c r="BM11" s="5">
        <v>4.5199999999999996</v>
      </c>
      <c r="BN11" s="6">
        <v>4.95</v>
      </c>
      <c r="BO11" s="19">
        <f t="shared" si="11"/>
        <v>-0.62999999999999989</v>
      </c>
      <c r="BP11" s="4">
        <v>385</v>
      </c>
      <c r="BQ11" s="5">
        <v>470</v>
      </c>
      <c r="BR11" s="6">
        <v>892</v>
      </c>
      <c r="BS11" s="19">
        <f>BR11-BP11</f>
        <v>507</v>
      </c>
      <c r="BT11" s="4">
        <v>12.7</v>
      </c>
      <c r="BU11" s="5">
        <v>18.100000000000001</v>
      </c>
      <c r="BV11" s="6">
        <v>171.2</v>
      </c>
      <c r="BW11" s="19">
        <f>BV11-BT11</f>
        <v>158.5</v>
      </c>
      <c r="BY11" s="5">
        <v>0.6</v>
      </c>
      <c r="CA11" s="6">
        <v>0.2</v>
      </c>
      <c r="CC11" s="5">
        <v>6.1</v>
      </c>
      <c r="CD11" s="6">
        <v>4.3</v>
      </c>
    </row>
    <row r="12" spans="1:82" x14ac:dyDescent="0.25">
      <c r="A12" s="1" t="s">
        <v>2</v>
      </c>
      <c r="B12">
        <v>75</v>
      </c>
      <c r="C12">
        <v>2</v>
      </c>
      <c r="D12">
        <v>2</v>
      </c>
      <c r="E12">
        <v>5</v>
      </c>
      <c r="F12">
        <v>2</v>
      </c>
      <c r="G12">
        <v>1</v>
      </c>
      <c r="H12">
        <v>841</v>
      </c>
      <c r="I12">
        <v>2</v>
      </c>
      <c r="J12">
        <v>63</v>
      </c>
      <c r="K12">
        <v>2</v>
      </c>
      <c r="L12">
        <v>20</v>
      </c>
      <c r="M12">
        <v>3.8</v>
      </c>
      <c r="N12">
        <v>2.85</v>
      </c>
      <c r="O12" t="s">
        <v>126</v>
      </c>
      <c r="P12">
        <v>34</v>
      </c>
      <c r="Q12">
        <v>2</v>
      </c>
      <c r="R12">
        <v>8</v>
      </c>
      <c r="S12">
        <v>22.27</v>
      </c>
      <c r="T12" s="15">
        <f t="shared" si="0"/>
        <v>0.19142500000000001</v>
      </c>
      <c r="U12" s="16">
        <f t="shared" si="1"/>
        <v>0.18409000000000003</v>
      </c>
      <c r="V12" s="17">
        <f t="shared" si="2"/>
        <v>0.14741500000000002</v>
      </c>
      <c r="W12" s="4">
        <v>0.15</v>
      </c>
      <c r="X12" s="8">
        <v>0.14000000000000001</v>
      </c>
      <c r="Y12" s="6">
        <v>0.09</v>
      </c>
      <c r="Z12" s="19">
        <f t="shared" si="3"/>
        <v>-0.06</v>
      </c>
      <c r="AA12" s="4">
        <v>2.7</v>
      </c>
      <c r="AB12" s="5">
        <v>4.8</v>
      </c>
      <c r="AC12" s="6">
        <v>33.700000000000003</v>
      </c>
      <c r="AD12" s="19">
        <f t="shared" si="4"/>
        <v>31.000000000000004</v>
      </c>
      <c r="AE12" s="4">
        <v>19</v>
      </c>
      <c r="AF12" s="5">
        <v>19</v>
      </c>
      <c r="AG12" s="6">
        <v>31</v>
      </c>
      <c r="AH12" s="4">
        <v>155</v>
      </c>
      <c r="AI12" s="5">
        <v>156</v>
      </c>
      <c r="AJ12" s="6">
        <v>146</v>
      </c>
      <c r="AK12" s="19">
        <f t="shared" si="5"/>
        <v>-9</v>
      </c>
      <c r="AL12" s="4">
        <v>2</v>
      </c>
      <c r="AM12" s="5">
        <v>2</v>
      </c>
      <c r="AN12" s="6">
        <v>2</v>
      </c>
      <c r="AO12" s="19">
        <f t="shared" si="6"/>
        <v>0</v>
      </c>
      <c r="AP12" s="4">
        <v>169</v>
      </c>
      <c r="AQ12" s="5">
        <v>202</v>
      </c>
      <c r="AR12" s="6">
        <v>106</v>
      </c>
      <c r="AS12" s="19">
        <f t="shared" si="7"/>
        <v>-63</v>
      </c>
      <c r="AW12" s="4">
        <v>10</v>
      </c>
      <c r="AX12" s="5">
        <v>30</v>
      </c>
      <c r="AY12" s="6">
        <v>46</v>
      </c>
      <c r="AZ12" s="19">
        <f t="shared" si="8"/>
        <v>36</v>
      </c>
      <c r="BA12" s="4">
        <v>30</v>
      </c>
      <c r="BB12" s="5">
        <v>103</v>
      </c>
      <c r="BC12" s="6">
        <v>40</v>
      </c>
      <c r="BD12" s="19">
        <f t="shared" si="9"/>
        <v>10</v>
      </c>
      <c r="BE12" s="4">
        <v>4</v>
      </c>
      <c r="BF12" s="5">
        <v>4</v>
      </c>
      <c r="BG12" s="6">
        <v>4</v>
      </c>
      <c r="BH12" s="4">
        <v>1.22</v>
      </c>
      <c r="BI12" s="5">
        <v>1.1599999999999999</v>
      </c>
      <c r="BJ12" s="6">
        <v>1.32</v>
      </c>
      <c r="BK12" s="19">
        <f t="shared" si="10"/>
        <v>0.10000000000000009</v>
      </c>
      <c r="BL12" s="4">
        <v>3.83</v>
      </c>
      <c r="BM12" s="5">
        <v>3.04</v>
      </c>
      <c r="BN12" s="6">
        <v>9.4600000000000009</v>
      </c>
      <c r="BO12" s="19">
        <f t="shared" si="11"/>
        <v>5.6300000000000008</v>
      </c>
      <c r="BP12" s="4">
        <v>1001</v>
      </c>
      <c r="BQ12" s="5">
        <v>1313</v>
      </c>
      <c r="BR12" s="6">
        <v>851</v>
      </c>
      <c r="BS12" s="19">
        <f>BR12-BP12</f>
        <v>-150</v>
      </c>
      <c r="BT12" s="4">
        <v>3.4</v>
      </c>
      <c r="BU12" s="5">
        <v>13.2</v>
      </c>
      <c r="BV12" s="6">
        <v>312.5</v>
      </c>
      <c r="BW12" s="19">
        <f>BV12-BT12</f>
        <v>309.10000000000002</v>
      </c>
      <c r="BX12" s="4">
        <v>10.8</v>
      </c>
      <c r="BY12" s="5">
        <v>0.3</v>
      </c>
      <c r="BZ12" s="19">
        <f>BY12-BX12</f>
        <v>-10.5</v>
      </c>
      <c r="CA12" s="6">
        <v>0.1</v>
      </c>
      <c r="CB12" s="4">
        <v>21.8</v>
      </c>
      <c r="CC12" s="5">
        <v>22.1</v>
      </c>
      <c r="CD12" s="6">
        <v>8.3000000000000007</v>
      </c>
    </row>
    <row r="13" spans="1:82" x14ac:dyDescent="0.25">
      <c r="A13" s="1" t="s">
        <v>3</v>
      </c>
      <c r="B13" s="2">
        <v>88</v>
      </c>
      <c r="C13" s="14">
        <v>2</v>
      </c>
      <c r="D13" s="2">
        <v>2</v>
      </c>
      <c r="E13" s="2">
        <v>3</v>
      </c>
      <c r="F13" s="2">
        <v>1</v>
      </c>
      <c r="G13" s="2">
        <v>1</v>
      </c>
      <c r="H13" s="2">
        <v>723</v>
      </c>
      <c r="I13" s="2">
        <v>1</v>
      </c>
      <c r="J13" s="2">
        <v>79</v>
      </c>
      <c r="K13" s="2">
        <v>1</v>
      </c>
      <c r="L13" s="2">
        <v>32.11</v>
      </c>
      <c r="M13" s="2">
        <v>1.66</v>
      </c>
      <c r="N13" s="2">
        <v>2.1</v>
      </c>
      <c r="O13" s="2" t="s">
        <v>127</v>
      </c>
      <c r="P13" s="2">
        <v>53</v>
      </c>
      <c r="Q13" s="2">
        <v>1</v>
      </c>
      <c r="R13" s="2">
        <v>15</v>
      </c>
      <c r="S13" s="2">
        <v>35.06</v>
      </c>
      <c r="T13" s="15">
        <f t="shared" si="0"/>
        <v>0.19142500000000001</v>
      </c>
      <c r="U13" s="16">
        <f t="shared" si="1"/>
        <v>0.18409000000000003</v>
      </c>
      <c r="V13" s="17">
        <f t="shared" si="2"/>
        <v>0.15475</v>
      </c>
      <c r="W13" s="4">
        <v>0.15</v>
      </c>
      <c r="X13" s="8">
        <v>0.14000000000000001</v>
      </c>
      <c r="Y13" s="6">
        <v>0.1</v>
      </c>
      <c r="Z13" s="19">
        <f t="shared" si="3"/>
        <v>-4.9999999999999989E-2</v>
      </c>
      <c r="AA13" s="4">
        <v>4.5</v>
      </c>
      <c r="AB13" s="5">
        <v>6.4</v>
      </c>
      <c r="AC13" s="6">
        <v>24.1</v>
      </c>
      <c r="AD13" s="19">
        <f t="shared" si="4"/>
        <v>19.600000000000001</v>
      </c>
      <c r="AE13" s="4">
        <v>29</v>
      </c>
      <c r="AF13" s="5">
        <v>31</v>
      </c>
      <c r="AG13" s="6">
        <v>39</v>
      </c>
      <c r="AH13" s="4">
        <v>147</v>
      </c>
      <c r="AI13" s="5">
        <v>151</v>
      </c>
      <c r="AJ13" s="6">
        <v>152</v>
      </c>
      <c r="AK13" s="19">
        <f t="shared" si="5"/>
        <v>5</v>
      </c>
      <c r="AL13" s="4">
        <v>2</v>
      </c>
      <c r="AM13" s="5">
        <v>2</v>
      </c>
      <c r="AN13" s="6">
        <v>2</v>
      </c>
      <c r="AO13" s="19">
        <f t="shared" si="6"/>
        <v>0</v>
      </c>
      <c r="AP13" s="4">
        <v>170</v>
      </c>
      <c r="AQ13" s="5">
        <v>208</v>
      </c>
      <c r="AR13" s="6">
        <v>210</v>
      </c>
      <c r="AS13" s="19">
        <f t="shared" si="7"/>
        <v>40</v>
      </c>
      <c r="AT13" s="4">
        <v>187</v>
      </c>
      <c r="AW13" s="4">
        <v>5</v>
      </c>
      <c r="AX13" s="5">
        <v>6</v>
      </c>
      <c r="AY13" s="6">
        <v>12</v>
      </c>
      <c r="AZ13" s="19">
        <f t="shared" si="8"/>
        <v>7</v>
      </c>
      <c r="BA13" s="4">
        <v>4</v>
      </c>
      <c r="BB13" s="5">
        <v>4</v>
      </c>
      <c r="BC13" s="6">
        <v>7</v>
      </c>
      <c r="BD13" s="19">
        <f t="shared" si="9"/>
        <v>3</v>
      </c>
      <c r="BE13" s="4">
        <v>4</v>
      </c>
      <c r="BF13" s="5">
        <v>4</v>
      </c>
      <c r="BG13" s="6">
        <v>4</v>
      </c>
      <c r="BH13" s="4">
        <v>1.41</v>
      </c>
      <c r="BI13" s="5">
        <v>1.29</v>
      </c>
      <c r="BJ13" s="6">
        <v>1.45</v>
      </c>
      <c r="BK13" s="19">
        <f t="shared" si="10"/>
        <v>4.0000000000000036E-2</v>
      </c>
      <c r="BL13" s="4">
        <v>4.12</v>
      </c>
      <c r="BM13" s="5">
        <v>4.67</v>
      </c>
      <c r="BN13" s="6">
        <v>4.1900000000000004</v>
      </c>
      <c r="BO13" s="19">
        <f t="shared" si="11"/>
        <v>7.0000000000000284E-2</v>
      </c>
      <c r="BP13" s="4">
        <v>588</v>
      </c>
      <c r="BT13" s="4">
        <v>7.1</v>
      </c>
      <c r="BX13" s="4">
        <v>14.9</v>
      </c>
      <c r="BY13" s="5">
        <v>7.1</v>
      </c>
      <c r="BZ13" s="19">
        <f>BY13-BX13</f>
        <v>-7.8000000000000007</v>
      </c>
      <c r="CA13" s="6">
        <v>0.3</v>
      </c>
      <c r="CB13" s="4">
        <v>26.8</v>
      </c>
      <c r="CC13" s="5">
        <v>41.6</v>
      </c>
      <c r="CD13" s="6">
        <v>6.6</v>
      </c>
    </row>
    <row r="14" spans="1:82" x14ac:dyDescent="0.25">
      <c r="A14" s="1" t="s">
        <v>4</v>
      </c>
      <c r="B14" s="2">
        <v>95</v>
      </c>
      <c r="C14" s="14">
        <v>2</v>
      </c>
      <c r="D14" s="2">
        <v>2</v>
      </c>
      <c r="E14" s="2">
        <v>4</v>
      </c>
      <c r="F14" s="2">
        <v>1</v>
      </c>
      <c r="G14" s="2">
        <v>1</v>
      </c>
      <c r="H14" s="2">
        <v>854</v>
      </c>
      <c r="I14" s="2">
        <v>2</v>
      </c>
      <c r="J14" s="2">
        <v>53</v>
      </c>
      <c r="K14" s="2">
        <v>1</v>
      </c>
      <c r="L14" s="2">
        <v>24.66</v>
      </c>
      <c r="M14" s="2">
        <v>2.39</v>
      </c>
      <c r="N14" s="2">
        <v>2.0699999999999998</v>
      </c>
      <c r="O14" s="2" t="s">
        <v>126</v>
      </c>
      <c r="P14" s="2">
        <v>46</v>
      </c>
      <c r="Q14" s="2">
        <v>1</v>
      </c>
      <c r="R14" s="2">
        <v>13</v>
      </c>
      <c r="S14" s="2">
        <v>24.58</v>
      </c>
      <c r="T14" s="15">
        <f t="shared" si="0"/>
        <v>0.26477499999999998</v>
      </c>
      <c r="U14" s="16">
        <f t="shared" si="1"/>
        <v>0.30145</v>
      </c>
      <c r="V14" s="17">
        <f t="shared" si="2"/>
        <v>0.22810000000000002</v>
      </c>
      <c r="W14" s="4">
        <v>0.25</v>
      </c>
      <c r="X14" s="8">
        <v>0.3</v>
      </c>
      <c r="Y14" s="6">
        <v>0.2</v>
      </c>
      <c r="Z14" s="19">
        <f t="shared" si="3"/>
        <v>-4.9999999999999989E-2</v>
      </c>
      <c r="AA14" s="4">
        <v>3.8</v>
      </c>
      <c r="AB14" s="5">
        <v>6.4</v>
      </c>
      <c r="AC14" s="6">
        <v>38.700000000000003</v>
      </c>
      <c r="AD14" s="19">
        <f t="shared" si="4"/>
        <v>34.900000000000006</v>
      </c>
      <c r="AE14" s="4">
        <v>31</v>
      </c>
      <c r="AF14" s="5">
        <v>30</v>
      </c>
      <c r="AG14" s="6">
        <v>32</v>
      </c>
      <c r="AH14" s="4">
        <v>164</v>
      </c>
      <c r="AI14" s="5">
        <v>154</v>
      </c>
      <c r="AJ14" s="6">
        <v>154</v>
      </c>
      <c r="AK14" s="19">
        <f t="shared" si="5"/>
        <v>-10</v>
      </c>
      <c r="AL14" s="4">
        <v>2</v>
      </c>
      <c r="AM14" s="5">
        <v>2</v>
      </c>
      <c r="AN14" s="6">
        <v>7</v>
      </c>
      <c r="AO14" s="19">
        <f t="shared" si="6"/>
        <v>5</v>
      </c>
      <c r="AP14" s="4">
        <v>1811</v>
      </c>
      <c r="AQ14" s="5">
        <v>2228</v>
      </c>
      <c r="AR14" s="6">
        <v>3026</v>
      </c>
      <c r="AS14" s="19">
        <f t="shared" si="7"/>
        <v>1215</v>
      </c>
      <c r="AW14" s="4">
        <v>6</v>
      </c>
      <c r="AX14" s="5">
        <v>6</v>
      </c>
      <c r="AY14" s="6">
        <v>122</v>
      </c>
      <c r="AZ14" s="19">
        <f t="shared" si="8"/>
        <v>116</v>
      </c>
      <c r="BA14" s="4">
        <v>4</v>
      </c>
      <c r="BB14" s="5">
        <v>5</v>
      </c>
      <c r="BC14" s="6">
        <v>112</v>
      </c>
      <c r="BD14" s="19">
        <f t="shared" si="9"/>
        <v>108</v>
      </c>
      <c r="BE14" s="4">
        <v>4</v>
      </c>
      <c r="BF14" s="5">
        <v>4</v>
      </c>
      <c r="BG14" s="6">
        <v>4</v>
      </c>
      <c r="BH14" s="4">
        <v>1.31</v>
      </c>
      <c r="BI14" s="5">
        <v>1.0900000000000001</v>
      </c>
      <c r="BJ14" s="6">
        <v>1.3</v>
      </c>
      <c r="BK14" s="19">
        <f t="shared" si="10"/>
        <v>-1.0000000000000009E-2</v>
      </c>
      <c r="BL14" s="4">
        <v>6.82</v>
      </c>
      <c r="BM14" s="5">
        <v>7.3</v>
      </c>
      <c r="BN14" s="6">
        <v>7.18</v>
      </c>
      <c r="BO14" s="19">
        <f t="shared" si="11"/>
        <v>0.35999999999999943</v>
      </c>
      <c r="BP14" s="4">
        <v>3325</v>
      </c>
      <c r="BQ14" s="5">
        <v>3325</v>
      </c>
      <c r="BT14" s="4">
        <v>15.4</v>
      </c>
      <c r="BU14" s="5">
        <v>48.8</v>
      </c>
      <c r="BY14" s="5">
        <v>0.5</v>
      </c>
      <c r="CA14" s="6">
        <v>0.5</v>
      </c>
      <c r="CC14" s="5">
        <v>6.7</v>
      </c>
      <c r="CD14" s="6">
        <v>11.3</v>
      </c>
    </row>
    <row r="15" spans="1:82" x14ac:dyDescent="0.25">
      <c r="A15" s="1" t="s">
        <v>16</v>
      </c>
      <c r="B15" s="2">
        <v>178</v>
      </c>
      <c r="C15" s="14">
        <v>1</v>
      </c>
      <c r="D15" s="14">
        <v>2</v>
      </c>
      <c r="E15" s="14">
        <v>2</v>
      </c>
      <c r="F15" s="14">
        <v>1</v>
      </c>
      <c r="G15" s="14">
        <v>1</v>
      </c>
      <c r="H15" s="14">
        <v>339</v>
      </c>
      <c r="I15" s="14">
        <v>1</v>
      </c>
      <c r="J15" s="14">
        <v>77</v>
      </c>
      <c r="K15" s="14">
        <v>2</v>
      </c>
      <c r="L15" s="14">
        <v>23.73</v>
      </c>
      <c r="M15" s="14">
        <v>1.41</v>
      </c>
      <c r="N15" s="14">
        <v>2.2799999999999998</v>
      </c>
      <c r="O15" s="14" t="s">
        <v>126</v>
      </c>
      <c r="P15" s="14">
        <v>61</v>
      </c>
      <c r="Q15" s="14">
        <v>1</v>
      </c>
      <c r="R15" s="14">
        <v>15</v>
      </c>
      <c r="S15" s="14">
        <v>20.28</v>
      </c>
      <c r="T15" s="15">
        <f t="shared" si="0"/>
        <v>0.22076500000000002</v>
      </c>
      <c r="U15" s="16">
        <f t="shared" si="1"/>
        <v>0.19142500000000001</v>
      </c>
      <c r="V15" s="17">
        <f t="shared" si="2"/>
        <v>0.19142500000000001</v>
      </c>
      <c r="W15" s="4">
        <v>0.19</v>
      </c>
      <c r="X15" s="8">
        <v>0.15</v>
      </c>
      <c r="Y15" s="6">
        <v>0.15</v>
      </c>
      <c r="Z15" s="19">
        <f t="shared" si="3"/>
        <v>-4.0000000000000008E-2</v>
      </c>
      <c r="AA15" s="4">
        <v>2</v>
      </c>
      <c r="AB15" s="5">
        <v>2.9</v>
      </c>
      <c r="AC15" s="6">
        <v>6.2</v>
      </c>
      <c r="AD15" s="19">
        <f t="shared" si="4"/>
        <v>4.2</v>
      </c>
      <c r="AE15" s="4">
        <v>23</v>
      </c>
      <c r="AF15" s="5">
        <v>23</v>
      </c>
      <c r="AG15" s="6">
        <v>24</v>
      </c>
      <c r="AH15" s="4">
        <v>149</v>
      </c>
      <c r="AI15" s="5">
        <v>152</v>
      </c>
      <c r="AJ15" s="6">
        <v>152</v>
      </c>
      <c r="AK15" s="19">
        <f t="shared" si="5"/>
        <v>3</v>
      </c>
      <c r="AL15" s="4">
        <v>2</v>
      </c>
      <c r="AM15" s="5">
        <v>2</v>
      </c>
      <c r="AN15" s="6">
        <v>4</v>
      </c>
      <c r="AO15" s="19">
        <f t="shared" si="6"/>
        <v>2</v>
      </c>
      <c r="AP15" s="4">
        <v>78</v>
      </c>
      <c r="AQ15" s="5">
        <v>110</v>
      </c>
      <c r="AR15" s="6">
        <v>137</v>
      </c>
      <c r="AS15" s="19">
        <f t="shared" si="7"/>
        <v>59</v>
      </c>
      <c r="AU15" s="5">
        <v>163</v>
      </c>
      <c r="AV15" s="6">
        <v>198</v>
      </c>
      <c r="AW15" s="4">
        <v>5</v>
      </c>
      <c r="AX15" s="5">
        <v>15</v>
      </c>
      <c r="AY15" s="6">
        <v>80</v>
      </c>
      <c r="AZ15" s="19">
        <f t="shared" si="8"/>
        <v>75</v>
      </c>
      <c r="BA15" s="4">
        <v>4</v>
      </c>
      <c r="BB15" s="5">
        <v>4</v>
      </c>
      <c r="BC15" s="6">
        <v>39</v>
      </c>
      <c r="BD15" s="19">
        <f t="shared" si="9"/>
        <v>35</v>
      </c>
      <c r="BE15" s="4">
        <v>4</v>
      </c>
      <c r="BF15" s="5">
        <v>4</v>
      </c>
      <c r="BG15" s="6">
        <v>4</v>
      </c>
      <c r="BH15" s="4">
        <v>1.3</v>
      </c>
      <c r="BI15" s="5">
        <v>1.31</v>
      </c>
      <c r="BJ15" s="6">
        <v>1.25</v>
      </c>
      <c r="BK15" s="19">
        <f t="shared" si="10"/>
        <v>-5.0000000000000044E-2</v>
      </c>
      <c r="BL15" s="4">
        <v>3.44</v>
      </c>
      <c r="BM15" s="5">
        <v>3.36</v>
      </c>
      <c r="BN15" s="6">
        <v>3.8</v>
      </c>
      <c r="BO15" s="19">
        <f t="shared" si="11"/>
        <v>0.35999999999999988</v>
      </c>
      <c r="BP15" s="4">
        <v>228</v>
      </c>
      <c r="BQ15" s="5">
        <v>336</v>
      </c>
      <c r="BR15" s="6">
        <v>497</v>
      </c>
      <c r="BS15" s="19">
        <f>BR15-BP15</f>
        <v>269</v>
      </c>
      <c r="BT15" s="4">
        <v>4.3</v>
      </c>
      <c r="BU15" s="5">
        <v>18.100000000000001</v>
      </c>
      <c r="BV15" s="6">
        <v>77.400000000000006</v>
      </c>
      <c r="BW15" s="19">
        <f t="shared" ref="BW15:BW20" si="12">BV15-BT15</f>
        <v>73.100000000000009</v>
      </c>
      <c r="BX15" s="4">
        <v>10.4</v>
      </c>
      <c r="BY15" s="5">
        <v>1.7</v>
      </c>
      <c r="BZ15" s="19">
        <f>BY15-BX15</f>
        <v>-8.7000000000000011</v>
      </c>
      <c r="CA15" s="6">
        <v>0.8</v>
      </c>
      <c r="CB15" s="4">
        <v>23</v>
      </c>
      <c r="CC15" s="5">
        <v>25.1</v>
      </c>
      <c r="CD15" s="6">
        <v>10.199999999999999</v>
      </c>
    </row>
    <row r="16" spans="1:82" x14ac:dyDescent="0.25">
      <c r="A16" s="1" t="s">
        <v>21</v>
      </c>
      <c r="B16">
        <v>196</v>
      </c>
      <c r="C16" s="3">
        <v>2</v>
      </c>
      <c r="D16" s="14">
        <v>2</v>
      </c>
      <c r="E16" s="14">
        <v>6</v>
      </c>
      <c r="F16" s="14">
        <v>1</v>
      </c>
      <c r="G16" s="14">
        <v>1</v>
      </c>
      <c r="H16" s="14">
        <v>656</v>
      </c>
      <c r="I16" s="14">
        <v>1</v>
      </c>
      <c r="J16" s="14">
        <v>61</v>
      </c>
      <c r="K16" s="14">
        <v>1</v>
      </c>
      <c r="L16" s="14">
        <v>26.42</v>
      </c>
      <c r="M16" s="14">
        <v>1.1000000000000001</v>
      </c>
      <c r="N16" s="14">
        <v>1.72</v>
      </c>
      <c r="O16" s="14" t="s">
        <v>125</v>
      </c>
      <c r="P16" s="14">
        <v>55</v>
      </c>
      <c r="Q16" s="14">
        <v>1</v>
      </c>
      <c r="R16" s="14">
        <v>14</v>
      </c>
      <c r="S16" s="14">
        <v>26.47</v>
      </c>
      <c r="T16" s="15">
        <f t="shared" si="0"/>
        <v>0.15475</v>
      </c>
      <c r="U16" s="16">
        <f t="shared" si="1"/>
        <v>0.14741500000000002</v>
      </c>
      <c r="V16" s="17">
        <f t="shared" si="2"/>
        <v>0.12540999999999999</v>
      </c>
      <c r="W16" s="4">
        <v>0.1</v>
      </c>
      <c r="X16" s="8">
        <v>0.09</v>
      </c>
      <c r="Y16" s="6">
        <v>0.06</v>
      </c>
      <c r="Z16" s="19">
        <f t="shared" si="3"/>
        <v>-4.0000000000000008E-2</v>
      </c>
      <c r="AA16" s="4">
        <v>4.2</v>
      </c>
      <c r="AB16" s="5">
        <v>6.1</v>
      </c>
      <c r="AC16" s="6">
        <v>19.3</v>
      </c>
      <c r="AD16" s="19">
        <f t="shared" si="4"/>
        <v>15.100000000000001</v>
      </c>
      <c r="AE16" s="4">
        <v>27</v>
      </c>
      <c r="AF16" s="5">
        <v>28</v>
      </c>
      <c r="AG16" s="6">
        <v>31</v>
      </c>
      <c r="AH16" s="4">
        <v>145</v>
      </c>
      <c r="AI16" s="5">
        <v>139</v>
      </c>
      <c r="AJ16" s="6">
        <v>141</v>
      </c>
      <c r="AK16" s="19">
        <f t="shared" si="5"/>
        <v>-4</v>
      </c>
      <c r="AL16" s="4">
        <v>2</v>
      </c>
      <c r="AM16" s="5">
        <v>2</v>
      </c>
      <c r="AN16" s="6">
        <v>2</v>
      </c>
      <c r="AO16" s="19">
        <f t="shared" si="6"/>
        <v>0</v>
      </c>
      <c r="AP16" s="4">
        <v>171</v>
      </c>
      <c r="AQ16" s="5">
        <v>185</v>
      </c>
      <c r="AR16" s="6">
        <v>267</v>
      </c>
      <c r="AS16" s="19">
        <f t="shared" si="7"/>
        <v>96</v>
      </c>
      <c r="AW16" s="4">
        <v>5</v>
      </c>
      <c r="AX16" s="5">
        <v>5</v>
      </c>
      <c r="AY16" s="6">
        <v>7</v>
      </c>
      <c r="AZ16" s="19">
        <f t="shared" si="8"/>
        <v>2</v>
      </c>
      <c r="BA16" s="4">
        <v>4</v>
      </c>
      <c r="BB16" s="5">
        <v>6</v>
      </c>
      <c r="BC16" s="6">
        <v>10</v>
      </c>
      <c r="BD16" s="19">
        <f t="shared" si="9"/>
        <v>6</v>
      </c>
      <c r="BE16" s="4">
        <v>4</v>
      </c>
      <c r="BF16" s="5">
        <v>4</v>
      </c>
      <c r="BG16" s="6">
        <v>4</v>
      </c>
      <c r="BH16" s="4">
        <v>1.49</v>
      </c>
      <c r="BI16" s="5">
        <v>1.36</v>
      </c>
      <c r="BJ16" s="6">
        <v>1.36</v>
      </c>
      <c r="BK16" s="19">
        <f t="shared" si="10"/>
        <v>-0.12999999999999989</v>
      </c>
      <c r="BL16" s="4">
        <v>4.53</v>
      </c>
      <c r="BM16" s="5">
        <v>4.5599999999999996</v>
      </c>
      <c r="BN16" s="6">
        <v>5.6</v>
      </c>
      <c r="BO16" s="19">
        <f t="shared" si="11"/>
        <v>1.0699999999999994</v>
      </c>
      <c r="BW16" s="19">
        <f t="shared" si="12"/>
        <v>0</v>
      </c>
      <c r="BY16" s="5">
        <v>1.4</v>
      </c>
      <c r="CA16" s="6">
        <v>0.3</v>
      </c>
      <c r="CD16" s="6">
        <v>7.2</v>
      </c>
    </row>
    <row r="17" spans="1:82" x14ac:dyDescent="0.25">
      <c r="A17" s="1" t="s">
        <v>17</v>
      </c>
      <c r="B17" s="2">
        <v>181</v>
      </c>
      <c r="C17" s="14">
        <v>1</v>
      </c>
      <c r="D17" s="14">
        <v>2</v>
      </c>
      <c r="E17" s="14">
        <v>4</v>
      </c>
      <c r="F17" s="14">
        <v>1</v>
      </c>
      <c r="G17" s="14">
        <v>1</v>
      </c>
      <c r="H17" s="14">
        <v>366</v>
      </c>
      <c r="I17" s="14">
        <v>1</v>
      </c>
      <c r="J17" s="14">
        <v>72</v>
      </c>
      <c r="K17" s="14">
        <v>2</v>
      </c>
      <c r="L17" s="14">
        <v>26.04</v>
      </c>
      <c r="M17" s="14">
        <v>1.1200000000000001</v>
      </c>
      <c r="N17" s="14">
        <v>2.09</v>
      </c>
      <c r="O17" s="14" t="s">
        <v>126</v>
      </c>
      <c r="P17" s="14">
        <v>40</v>
      </c>
      <c r="Q17" s="14">
        <v>1</v>
      </c>
      <c r="R17" s="14">
        <v>13</v>
      </c>
      <c r="S17" s="14">
        <v>21.2</v>
      </c>
      <c r="T17" s="15">
        <f t="shared" si="0"/>
        <v>0.18409000000000003</v>
      </c>
      <c r="U17" s="16">
        <f t="shared" si="1"/>
        <v>0.21343000000000001</v>
      </c>
      <c r="V17" s="17">
        <f t="shared" si="2"/>
        <v>0.16208500000000001</v>
      </c>
      <c r="W17" s="4">
        <v>0.14000000000000001</v>
      </c>
      <c r="X17" s="8">
        <v>0.18</v>
      </c>
      <c r="Y17" s="6">
        <v>0.11</v>
      </c>
      <c r="Z17" s="19">
        <f t="shared" si="3"/>
        <v>-3.0000000000000013E-2</v>
      </c>
      <c r="AA17" s="4">
        <v>2</v>
      </c>
      <c r="AB17" s="5">
        <v>2.7</v>
      </c>
      <c r="AC17" s="6">
        <v>5.6</v>
      </c>
      <c r="AD17" s="19">
        <f t="shared" si="4"/>
        <v>3.5999999999999996</v>
      </c>
      <c r="AE17" s="4">
        <v>20</v>
      </c>
      <c r="AF17" s="5">
        <v>21</v>
      </c>
      <c r="AG17" s="6">
        <v>25</v>
      </c>
      <c r="AH17" s="4">
        <v>161</v>
      </c>
      <c r="AI17" s="5">
        <v>161</v>
      </c>
      <c r="AJ17" s="6">
        <v>166</v>
      </c>
      <c r="AK17" s="19">
        <f t="shared" si="5"/>
        <v>5</v>
      </c>
      <c r="AL17" s="4">
        <v>2</v>
      </c>
      <c r="AM17" s="5">
        <v>2</v>
      </c>
      <c r="AN17" s="6">
        <v>2</v>
      </c>
      <c r="AO17" s="19">
        <f t="shared" si="6"/>
        <v>0</v>
      </c>
      <c r="AP17" s="4">
        <v>145</v>
      </c>
      <c r="AQ17" s="5">
        <v>148</v>
      </c>
      <c r="AR17" s="6">
        <v>179</v>
      </c>
      <c r="AS17" s="19">
        <f t="shared" si="7"/>
        <v>34</v>
      </c>
      <c r="AW17" s="4">
        <v>5</v>
      </c>
      <c r="AX17" s="5">
        <v>13</v>
      </c>
      <c r="AY17" s="6">
        <v>25</v>
      </c>
      <c r="AZ17" s="19">
        <f t="shared" si="8"/>
        <v>20</v>
      </c>
      <c r="BA17" s="4">
        <v>4</v>
      </c>
      <c r="BB17" s="5">
        <v>8</v>
      </c>
      <c r="BC17" s="6">
        <v>12</v>
      </c>
      <c r="BD17" s="19">
        <f t="shared" si="9"/>
        <v>8</v>
      </c>
      <c r="BE17" s="4">
        <v>4</v>
      </c>
      <c r="BF17" s="5">
        <v>4</v>
      </c>
      <c r="BG17" s="6">
        <v>4</v>
      </c>
      <c r="BH17" s="4">
        <v>1.47</v>
      </c>
      <c r="BI17" s="5">
        <v>1.36</v>
      </c>
      <c r="BJ17" s="6">
        <v>1.34</v>
      </c>
      <c r="BK17" s="19">
        <f t="shared" si="10"/>
        <v>-0.12999999999999989</v>
      </c>
      <c r="BL17" s="4">
        <v>3.96</v>
      </c>
      <c r="BM17" s="5">
        <v>3.53</v>
      </c>
      <c r="BN17" s="6">
        <v>3.47</v>
      </c>
      <c r="BO17" s="19">
        <f t="shared" si="11"/>
        <v>-0.48999999999999977</v>
      </c>
      <c r="BP17" s="4">
        <v>419</v>
      </c>
      <c r="BQ17" s="5">
        <v>437</v>
      </c>
      <c r="BR17" s="6">
        <v>579</v>
      </c>
      <c r="BS17" s="19">
        <f>BR17-BP17</f>
        <v>160</v>
      </c>
      <c r="BT17" s="4">
        <v>6.4</v>
      </c>
      <c r="BU17" s="5">
        <v>23.7</v>
      </c>
      <c r="BV17" s="6">
        <v>86</v>
      </c>
      <c r="BW17" s="19">
        <f t="shared" si="12"/>
        <v>79.599999999999994</v>
      </c>
      <c r="BX17" s="4">
        <v>10.4</v>
      </c>
      <c r="BY17" s="5">
        <v>1.6</v>
      </c>
      <c r="BZ17" s="19">
        <f t="shared" ref="BZ17:BZ24" si="13">BY17-BX17</f>
        <v>-8.8000000000000007</v>
      </c>
      <c r="CA17" s="6">
        <v>0.9</v>
      </c>
      <c r="CB17" s="4">
        <v>18.600000000000001</v>
      </c>
      <c r="CC17" s="5">
        <v>22.5</v>
      </c>
      <c r="CD17" s="6">
        <v>7.6</v>
      </c>
    </row>
    <row r="18" spans="1:82" x14ac:dyDescent="0.25">
      <c r="A18" s="1" t="s">
        <v>13</v>
      </c>
      <c r="B18">
        <v>171</v>
      </c>
      <c r="C18" s="14">
        <v>2</v>
      </c>
      <c r="D18" s="2">
        <v>2</v>
      </c>
      <c r="E18" s="2">
        <v>5</v>
      </c>
      <c r="F18" s="14">
        <v>1</v>
      </c>
      <c r="G18" s="14">
        <v>1</v>
      </c>
      <c r="H18" s="14">
        <v>990</v>
      </c>
      <c r="I18" s="14">
        <v>1</v>
      </c>
      <c r="J18" s="14">
        <v>23</v>
      </c>
      <c r="K18" s="14">
        <v>1</v>
      </c>
      <c r="L18" s="14">
        <v>17.72</v>
      </c>
      <c r="M18" s="14">
        <v>0.97</v>
      </c>
      <c r="N18" s="14">
        <v>1.06</v>
      </c>
      <c r="O18" s="14" t="s">
        <v>126</v>
      </c>
      <c r="P18" s="14">
        <v>67</v>
      </c>
      <c r="Q18" s="14">
        <v>1</v>
      </c>
      <c r="R18" s="14">
        <v>20</v>
      </c>
      <c r="S18" s="14">
        <v>24.97</v>
      </c>
      <c r="T18" s="15">
        <f t="shared" si="0"/>
        <v>0.16942000000000002</v>
      </c>
      <c r="U18" s="16">
        <f t="shared" si="1"/>
        <v>0.16942000000000002</v>
      </c>
      <c r="V18" s="17">
        <f t="shared" si="2"/>
        <v>0.14741500000000002</v>
      </c>
      <c r="W18" s="4">
        <v>0.12</v>
      </c>
      <c r="X18" s="8">
        <v>0.12</v>
      </c>
      <c r="Y18" s="6">
        <v>0.09</v>
      </c>
      <c r="Z18" s="19">
        <f t="shared" si="3"/>
        <v>-0.03</v>
      </c>
      <c r="AA18" s="4">
        <v>3.1</v>
      </c>
      <c r="AB18" s="5">
        <v>5.5</v>
      </c>
      <c r="AC18" s="6">
        <v>33.700000000000003</v>
      </c>
      <c r="AD18" s="19">
        <f t="shared" si="4"/>
        <v>30.6</v>
      </c>
      <c r="AE18" s="4">
        <v>22</v>
      </c>
      <c r="AF18" s="5">
        <v>25</v>
      </c>
      <c r="AG18" s="6">
        <v>31</v>
      </c>
      <c r="AH18" s="4">
        <v>152</v>
      </c>
      <c r="AI18" s="5">
        <v>150</v>
      </c>
      <c r="AJ18" s="6">
        <v>146</v>
      </c>
      <c r="AK18" s="19">
        <f t="shared" si="5"/>
        <v>-6</v>
      </c>
      <c r="AL18" s="4">
        <v>3</v>
      </c>
      <c r="AM18" s="5">
        <v>5</v>
      </c>
      <c r="AN18" s="6">
        <v>2</v>
      </c>
      <c r="AO18" s="19">
        <f t="shared" si="6"/>
        <v>-1</v>
      </c>
      <c r="AP18" s="4">
        <v>80</v>
      </c>
      <c r="AQ18" s="5">
        <v>82</v>
      </c>
      <c r="AR18" s="6">
        <v>106</v>
      </c>
      <c r="AS18" s="19">
        <f t="shared" si="7"/>
        <v>26</v>
      </c>
      <c r="AT18" s="4">
        <v>147</v>
      </c>
      <c r="AW18" s="4">
        <v>10</v>
      </c>
      <c r="AX18" s="5">
        <v>7</v>
      </c>
      <c r="AY18" s="6">
        <v>46</v>
      </c>
      <c r="AZ18" s="19">
        <f t="shared" si="8"/>
        <v>36</v>
      </c>
      <c r="BA18" s="4">
        <v>4</v>
      </c>
      <c r="BB18" s="5">
        <v>5</v>
      </c>
      <c r="BC18" s="6">
        <v>40</v>
      </c>
      <c r="BD18" s="19">
        <f t="shared" si="9"/>
        <v>36</v>
      </c>
      <c r="BE18" s="4">
        <v>4</v>
      </c>
      <c r="BF18" s="5">
        <v>4</v>
      </c>
      <c r="BG18" s="6">
        <v>4</v>
      </c>
      <c r="BH18" s="4">
        <v>1.1100000000000001</v>
      </c>
      <c r="BI18" s="5">
        <v>1.75</v>
      </c>
      <c r="BJ18" s="6">
        <v>1.32</v>
      </c>
      <c r="BK18" s="19">
        <f t="shared" si="10"/>
        <v>0.20999999999999996</v>
      </c>
      <c r="BL18" s="4">
        <v>6.04</v>
      </c>
      <c r="BM18" s="5">
        <v>7.01</v>
      </c>
      <c r="BN18" s="6">
        <v>9.4600000000000009</v>
      </c>
      <c r="BO18" s="19">
        <f t="shared" si="11"/>
        <v>3.4200000000000008</v>
      </c>
      <c r="BP18" s="4">
        <v>395</v>
      </c>
      <c r="BR18" s="6">
        <v>851</v>
      </c>
      <c r="BS18" s="19">
        <f>BR18-BP18</f>
        <v>456</v>
      </c>
      <c r="BT18" s="4">
        <v>11.6</v>
      </c>
      <c r="BV18" s="6">
        <v>312.5</v>
      </c>
      <c r="BW18" s="19">
        <f t="shared" si="12"/>
        <v>300.89999999999998</v>
      </c>
      <c r="BX18" s="4">
        <v>12.1</v>
      </c>
      <c r="BY18" s="5">
        <v>0.6</v>
      </c>
      <c r="BZ18" s="19">
        <f t="shared" si="13"/>
        <v>-11.5</v>
      </c>
      <c r="CA18" s="6">
        <v>0.26</v>
      </c>
      <c r="CB18" s="4">
        <v>26</v>
      </c>
      <c r="CC18" s="5">
        <v>22</v>
      </c>
      <c r="CD18" s="6">
        <v>8.3000000000000007</v>
      </c>
    </row>
    <row r="19" spans="1:82" x14ac:dyDescent="0.25">
      <c r="A19" s="1" t="s">
        <v>8</v>
      </c>
      <c r="B19" s="2">
        <v>128</v>
      </c>
      <c r="C19" s="14">
        <v>2</v>
      </c>
      <c r="D19" s="2">
        <v>2</v>
      </c>
      <c r="E19" s="2">
        <v>2</v>
      </c>
      <c r="F19" s="14">
        <v>1</v>
      </c>
      <c r="G19" s="14">
        <v>1</v>
      </c>
      <c r="H19" s="2">
        <v>215</v>
      </c>
      <c r="I19" s="2">
        <v>1</v>
      </c>
      <c r="J19" s="2">
        <v>75</v>
      </c>
      <c r="K19" s="2">
        <v>1</v>
      </c>
      <c r="L19" s="2">
        <v>27.36</v>
      </c>
      <c r="M19" s="2">
        <v>1.55</v>
      </c>
      <c r="N19" s="2">
        <v>1.83</v>
      </c>
      <c r="O19" s="2" t="s">
        <v>125</v>
      </c>
      <c r="P19" s="2">
        <v>48</v>
      </c>
      <c r="Q19" s="2">
        <v>1</v>
      </c>
      <c r="R19" s="2">
        <v>23</v>
      </c>
      <c r="S19" s="2">
        <v>28.9</v>
      </c>
      <c r="T19" s="15">
        <f t="shared" si="0"/>
        <v>0.27211000000000002</v>
      </c>
      <c r="U19" s="16">
        <f t="shared" si="1"/>
        <v>0.19142500000000001</v>
      </c>
      <c r="V19" s="17">
        <f t="shared" si="2"/>
        <v>0.27211000000000002</v>
      </c>
      <c r="W19" s="4">
        <v>0.26</v>
      </c>
      <c r="X19" s="8">
        <v>0.15</v>
      </c>
      <c r="Y19" s="6">
        <v>0.26</v>
      </c>
      <c r="Z19" s="19">
        <f t="shared" si="3"/>
        <v>0</v>
      </c>
      <c r="AA19" s="4">
        <v>2.7</v>
      </c>
      <c r="AB19" s="5">
        <v>3.2</v>
      </c>
      <c r="AC19" s="6">
        <v>4.4000000000000004</v>
      </c>
      <c r="AD19" s="19">
        <f t="shared" si="4"/>
        <v>1.7000000000000002</v>
      </c>
      <c r="AE19" s="4">
        <v>25</v>
      </c>
      <c r="AF19" s="5">
        <v>25</v>
      </c>
      <c r="AG19" s="6">
        <v>24</v>
      </c>
      <c r="AH19" s="4">
        <v>144</v>
      </c>
      <c r="AI19" s="5">
        <v>141</v>
      </c>
      <c r="AJ19" s="6">
        <v>141</v>
      </c>
      <c r="AK19" s="19">
        <f t="shared" si="5"/>
        <v>-3</v>
      </c>
      <c r="AL19" s="4">
        <v>2</v>
      </c>
      <c r="AM19" s="5">
        <v>2</v>
      </c>
      <c r="AN19" s="6">
        <v>2</v>
      </c>
      <c r="AO19" s="19">
        <f t="shared" si="6"/>
        <v>0</v>
      </c>
      <c r="AP19" s="4">
        <v>460</v>
      </c>
      <c r="AQ19" s="5">
        <v>497</v>
      </c>
      <c r="AR19" s="6">
        <v>513</v>
      </c>
      <c r="AS19" s="19">
        <f t="shared" si="7"/>
        <v>53</v>
      </c>
      <c r="AV19" s="6">
        <v>433</v>
      </c>
      <c r="AW19" s="4">
        <v>5</v>
      </c>
      <c r="AX19" s="5">
        <v>6</v>
      </c>
      <c r="AY19" s="6">
        <v>11</v>
      </c>
      <c r="AZ19" s="19">
        <f t="shared" si="8"/>
        <v>6</v>
      </c>
      <c r="BA19" s="4">
        <v>4</v>
      </c>
      <c r="BB19" s="5">
        <v>4</v>
      </c>
      <c r="BC19" s="6">
        <v>19</v>
      </c>
      <c r="BD19" s="19">
        <f t="shared" si="9"/>
        <v>15</v>
      </c>
      <c r="BE19" s="4">
        <v>4</v>
      </c>
      <c r="BF19" s="5">
        <v>4</v>
      </c>
      <c r="BG19" s="6">
        <v>4</v>
      </c>
      <c r="BH19" s="4">
        <v>1.3</v>
      </c>
      <c r="BI19" s="5">
        <v>1.22</v>
      </c>
      <c r="BJ19" s="6">
        <v>1.28</v>
      </c>
      <c r="BK19" s="19">
        <f t="shared" si="10"/>
        <v>-2.0000000000000018E-2</v>
      </c>
      <c r="BL19" s="4">
        <v>4.49</v>
      </c>
      <c r="BM19" s="5">
        <v>4.9000000000000004</v>
      </c>
      <c r="BN19" s="6">
        <v>4.7300000000000004</v>
      </c>
      <c r="BO19" s="19">
        <f t="shared" si="11"/>
        <v>0.24000000000000021</v>
      </c>
      <c r="BP19" s="4">
        <v>880</v>
      </c>
      <c r="BQ19" s="5">
        <v>1000</v>
      </c>
      <c r="BR19" s="6">
        <v>1122</v>
      </c>
      <c r="BS19" s="19">
        <f>BR19-BP19</f>
        <v>242</v>
      </c>
      <c r="BT19" s="4">
        <v>7.3</v>
      </c>
      <c r="BU19" s="5">
        <v>28.7</v>
      </c>
      <c r="BV19" s="6">
        <v>63.8</v>
      </c>
      <c r="BW19" s="19">
        <f t="shared" si="12"/>
        <v>56.5</v>
      </c>
      <c r="BX19" s="4">
        <v>9</v>
      </c>
      <c r="BY19" s="5">
        <v>1.3</v>
      </c>
      <c r="BZ19" s="19">
        <f t="shared" si="13"/>
        <v>-7.7</v>
      </c>
      <c r="CA19" s="6">
        <v>0.9</v>
      </c>
      <c r="CB19" s="4">
        <v>23.9</v>
      </c>
      <c r="CC19" s="5">
        <v>24.9</v>
      </c>
      <c r="CD19" s="6">
        <v>18.2</v>
      </c>
    </row>
    <row r="20" spans="1:82" x14ac:dyDescent="0.25">
      <c r="A20" s="1" t="s">
        <v>26</v>
      </c>
      <c r="B20" s="2">
        <v>227</v>
      </c>
      <c r="C20" s="14">
        <v>2</v>
      </c>
      <c r="D20" s="14">
        <v>2</v>
      </c>
      <c r="E20" s="14">
        <v>5</v>
      </c>
      <c r="F20" s="14">
        <v>1</v>
      </c>
      <c r="G20" s="14">
        <v>1</v>
      </c>
      <c r="H20" s="14">
        <v>550</v>
      </c>
      <c r="I20" s="14">
        <v>2</v>
      </c>
      <c r="J20" s="14">
        <v>74</v>
      </c>
      <c r="K20" s="14">
        <v>1</v>
      </c>
      <c r="L20" s="14">
        <v>25.9</v>
      </c>
      <c r="M20" s="14">
        <v>2.65</v>
      </c>
      <c r="N20" s="14"/>
      <c r="O20" s="14" t="s">
        <v>125</v>
      </c>
      <c r="P20" s="14">
        <v>56</v>
      </c>
      <c r="Q20" s="14">
        <v>1</v>
      </c>
      <c r="R20" s="14">
        <v>9</v>
      </c>
      <c r="S20" s="14">
        <v>33.619999999999997</v>
      </c>
      <c r="T20" s="15">
        <f t="shared" si="0"/>
        <v>0.27211000000000002</v>
      </c>
      <c r="U20" s="16">
        <f t="shared" si="1"/>
        <v>0.22076500000000002</v>
      </c>
      <c r="V20" s="17">
        <f t="shared" si="2"/>
        <v>0.27211000000000002</v>
      </c>
      <c r="W20" s="4">
        <v>0.26</v>
      </c>
      <c r="X20" s="8">
        <v>0.19</v>
      </c>
      <c r="Y20" s="6">
        <v>0.26</v>
      </c>
      <c r="Z20" s="19">
        <f t="shared" si="3"/>
        <v>0</v>
      </c>
      <c r="AA20" s="4">
        <v>4.8</v>
      </c>
      <c r="AB20" s="5">
        <v>7.4</v>
      </c>
      <c r="AC20" s="6">
        <v>22.1</v>
      </c>
      <c r="AD20" s="19">
        <f t="shared" si="4"/>
        <v>17.3</v>
      </c>
      <c r="AE20" s="4">
        <v>35</v>
      </c>
      <c r="AF20" s="5">
        <v>35</v>
      </c>
      <c r="AG20" s="6">
        <v>38</v>
      </c>
      <c r="AH20" s="4">
        <v>142</v>
      </c>
      <c r="AI20" s="5">
        <v>137</v>
      </c>
      <c r="AJ20" s="6">
        <v>150</v>
      </c>
      <c r="AK20" s="19">
        <f t="shared" si="5"/>
        <v>8</v>
      </c>
      <c r="AL20" s="4">
        <v>2</v>
      </c>
      <c r="AM20" s="5">
        <v>2</v>
      </c>
      <c r="AN20" s="6">
        <v>2</v>
      </c>
      <c r="AO20" s="19">
        <f t="shared" si="6"/>
        <v>0</v>
      </c>
      <c r="AP20" s="4">
        <v>1657</v>
      </c>
      <c r="AQ20" s="5">
        <v>2306</v>
      </c>
      <c r="AR20" s="6">
        <v>4107</v>
      </c>
      <c r="AS20" s="19">
        <f t="shared" si="7"/>
        <v>2450</v>
      </c>
      <c r="AW20" s="4">
        <v>10</v>
      </c>
      <c r="AX20" s="5">
        <v>17</v>
      </c>
      <c r="AY20" s="6">
        <v>28</v>
      </c>
      <c r="AZ20" s="19">
        <f t="shared" si="8"/>
        <v>18</v>
      </c>
      <c r="BA20" s="4">
        <v>19</v>
      </c>
      <c r="BB20" s="5">
        <v>32</v>
      </c>
      <c r="BC20" s="6">
        <v>78</v>
      </c>
      <c r="BD20" s="19">
        <f t="shared" si="9"/>
        <v>59</v>
      </c>
      <c r="BE20" s="4">
        <v>4</v>
      </c>
      <c r="BF20" s="5">
        <v>4</v>
      </c>
      <c r="BG20" s="6">
        <v>4</v>
      </c>
      <c r="BH20" s="4">
        <v>1.1200000000000001</v>
      </c>
      <c r="BI20" s="5">
        <v>0.87</v>
      </c>
      <c r="BJ20" s="6">
        <v>0.92</v>
      </c>
      <c r="BK20" s="19">
        <f t="shared" si="10"/>
        <v>-0.20000000000000007</v>
      </c>
      <c r="BL20" s="4">
        <v>5.76</v>
      </c>
      <c r="BM20" s="5">
        <v>7.13</v>
      </c>
      <c r="BN20" s="6">
        <v>6.48</v>
      </c>
      <c r="BO20" s="19">
        <f t="shared" si="11"/>
        <v>0.72000000000000064</v>
      </c>
      <c r="BP20" s="4">
        <v>1995</v>
      </c>
      <c r="BQ20" s="5">
        <v>3325</v>
      </c>
      <c r="BR20" s="6">
        <v>3325</v>
      </c>
      <c r="BS20" s="19">
        <f>BR20-BP20</f>
        <v>1330</v>
      </c>
      <c r="BT20" s="4">
        <v>5.4</v>
      </c>
      <c r="BU20" s="5">
        <v>7.7</v>
      </c>
      <c r="BV20" s="6">
        <v>35.799999999999997</v>
      </c>
      <c r="BW20" s="19">
        <f t="shared" si="12"/>
        <v>30.4</v>
      </c>
      <c r="BX20" s="4">
        <v>10</v>
      </c>
      <c r="BY20" s="5">
        <v>0.9</v>
      </c>
      <c r="BZ20" s="19">
        <f t="shared" si="13"/>
        <v>-9.1</v>
      </c>
      <c r="CA20" s="6">
        <v>0.5</v>
      </c>
      <c r="CB20" s="4">
        <v>46</v>
      </c>
      <c r="CC20" s="5">
        <v>19</v>
      </c>
      <c r="CD20" s="6">
        <v>8.9</v>
      </c>
    </row>
    <row r="21" spans="1:82" x14ac:dyDescent="0.25">
      <c r="A21" s="1" t="s">
        <v>6</v>
      </c>
      <c r="B21" s="2">
        <v>104</v>
      </c>
      <c r="C21" s="14">
        <v>2</v>
      </c>
      <c r="D21" s="2">
        <v>2</v>
      </c>
      <c r="E21" s="2">
        <v>2</v>
      </c>
      <c r="F21" s="14">
        <v>1</v>
      </c>
      <c r="G21" s="14">
        <v>1</v>
      </c>
      <c r="H21" s="2">
        <v>613</v>
      </c>
      <c r="I21" s="2">
        <v>2</v>
      </c>
      <c r="J21" s="2">
        <v>38</v>
      </c>
      <c r="K21" s="2">
        <v>2</v>
      </c>
      <c r="L21" s="2">
        <v>27.34</v>
      </c>
      <c r="M21" s="2">
        <v>3.9</v>
      </c>
      <c r="N21" s="2">
        <v>1.94</v>
      </c>
      <c r="O21" s="2" t="s">
        <v>126</v>
      </c>
      <c r="P21" s="2">
        <v>43</v>
      </c>
      <c r="Q21" s="2">
        <v>2</v>
      </c>
      <c r="R21" s="2">
        <v>17</v>
      </c>
      <c r="S21" s="2">
        <v>27.58</v>
      </c>
      <c r="T21" s="15">
        <f t="shared" si="0"/>
        <v>0.16208500000000001</v>
      </c>
      <c r="U21" s="16">
        <f t="shared" si="1"/>
        <v>0.25744</v>
      </c>
      <c r="V21" s="17">
        <f t="shared" si="2"/>
        <v>0.16208500000000001</v>
      </c>
      <c r="W21" s="4">
        <v>0.11</v>
      </c>
      <c r="X21" s="8">
        <v>0.24</v>
      </c>
      <c r="Y21" s="6">
        <v>0.11</v>
      </c>
      <c r="Z21" s="19">
        <f t="shared" si="3"/>
        <v>0</v>
      </c>
      <c r="AA21" s="4">
        <v>3</v>
      </c>
      <c r="AB21" s="5">
        <v>4.8</v>
      </c>
      <c r="AC21" s="6">
        <v>22.4</v>
      </c>
      <c r="AD21" s="19">
        <f t="shared" si="4"/>
        <v>19.399999999999999</v>
      </c>
      <c r="AE21" s="4">
        <v>29</v>
      </c>
      <c r="AF21" s="5">
        <v>29</v>
      </c>
      <c r="AG21" s="6">
        <v>25</v>
      </c>
      <c r="AH21" s="4">
        <v>159</v>
      </c>
      <c r="AI21" s="5">
        <v>158</v>
      </c>
      <c r="AJ21" s="6">
        <v>173</v>
      </c>
      <c r="AK21" s="19">
        <f t="shared" si="5"/>
        <v>14</v>
      </c>
      <c r="AL21" s="4">
        <v>2</v>
      </c>
      <c r="AM21" s="5">
        <v>2</v>
      </c>
      <c r="AN21" s="6">
        <v>23</v>
      </c>
      <c r="AO21" s="19">
        <f t="shared" si="6"/>
        <v>21</v>
      </c>
      <c r="AP21" s="4">
        <v>1117</v>
      </c>
      <c r="AQ21" s="5">
        <v>1178</v>
      </c>
      <c r="AR21" s="6">
        <v>1138</v>
      </c>
      <c r="AS21" s="19">
        <f t="shared" si="7"/>
        <v>21</v>
      </c>
      <c r="AV21" s="6">
        <v>1140</v>
      </c>
      <c r="AW21" s="4">
        <v>5</v>
      </c>
      <c r="AX21" s="5">
        <v>5</v>
      </c>
      <c r="AY21" s="6">
        <v>23</v>
      </c>
      <c r="AZ21" s="19">
        <f t="shared" si="8"/>
        <v>18</v>
      </c>
      <c r="BA21" s="4">
        <v>4</v>
      </c>
      <c r="BB21" s="5">
        <v>4</v>
      </c>
      <c r="BC21" s="6">
        <v>32</v>
      </c>
      <c r="BD21" s="19">
        <f t="shared" si="9"/>
        <v>28</v>
      </c>
      <c r="BE21" s="4">
        <v>4</v>
      </c>
      <c r="BF21" s="5">
        <v>4</v>
      </c>
      <c r="BG21" s="6">
        <v>4</v>
      </c>
      <c r="BH21" s="4">
        <v>1.31</v>
      </c>
      <c r="BI21" s="5">
        <v>1.1499999999999999</v>
      </c>
      <c r="BJ21" s="6">
        <v>1.22</v>
      </c>
      <c r="BK21" s="19">
        <f t="shared" si="10"/>
        <v>-9.000000000000008E-2</v>
      </c>
      <c r="BL21" s="4">
        <v>5.14</v>
      </c>
      <c r="BM21" s="5">
        <v>6.21</v>
      </c>
      <c r="BN21" s="6">
        <v>4.5199999999999996</v>
      </c>
      <c r="BO21" s="19">
        <f t="shared" si="11"/>
        <v>-0.62000000000000011</v>
      </c>
      <c r="BQ21" s="5">
        <v>1785</v>
      </c>
      <c r="BR21" s="6">
        <v>1907</v>
      </c>
      <c r="BU21" s="5">
        <v>9.8000000000000007</v>
      </c>
      <c r="BV21" s="6">
        <v>141.4</v>
      </c>
      <c r="BX21" s="4">
        <v>8.6999999999999993</v>
      </c>
      <c r="BY21" s="5">
        <v>1.7</v>
      </c>
      <c r="BZ21" s="19">
        <f t="shared" si="13"/>
        <v>-6.9999999999999991</v>
      </c>
      <c r="CA21" s="6">
        <v>1.5</v>
      </c>
      <c r="CB21" s="4">
        <v>9</v>
      </c>
      <c r="CC21" s="5">
        <v>11.5</v>
      </c>
      <c r="CD21" s="6">
        <v>9.1</v>
      </c>
    </row>
    <row r="22" spans="1:82" x14ac:dyDescent="0.25">
      <c r="A22" s="1" t="s">
        <v>19</v>
      </c>
      <c r="B22" s="2">
        <v>184</v>
      </c>
      <c r="C22" s="14">
        <v>2</v>
      </c>
      <c r="D22" s="14">
        <v>2</v>
      </c>
      <c r="E22" s="14">
        <v>5</v>
      </c>
      <c r="F22" s="14">
        <v>1</v>
      </c>
      <c r="G22" s="14">
        <v>1</v>
      </c>
      <c r="H22" s="14">
        <v>255</v>
      </c>
      <c r="I22" s="14">
        <v>2</v>
      </c>
      <c r="J22" s="14">
        <v>32</v>
      </c>
      <c r="K22" s="14">
        <v>2</v>
      </c>
      <c r="L22" s="14">
        <v>28.73</v>
      </c>
      <c r="M22" s="14">
        <v>2.7</v>
      </c>
      <c r="N22" s="14">
        <v>1.66</v>
      </c>
      <c r="O22" s="14" t="s">
        <v>125</v>
      </c>
      <c r="P22" s="14">
        <v>58</v>
      </c>
      <c r="Q22" s="14">
        <v>2</v>
      </c>
      <c r="R22" s="14">
        <v>9</v>
      </c>
      <c r="S22" s="14">
        <v>23.11</v>
      </c>
      <c r="T22" s="15">
        <f t="shared" si="0"/>
        <v>0.37480000000000002</v>
      </c>
      <c r="U22" s="16">
        <f t="shared" si="1"/>
        <v>0.34545999999999999</v>
      </c>
      <c r="V22" s="17">
        <f t="shared" si="2"/>
        <v>0.382135</v>
      </c>
      <c r="W22" s="4">
        <v>0.4</v>
      </c>
      <c r="X22" s="8">
        <v>0.36</v>
      </c>
      <c r="Y22" s="6">
        <v>0.41</v>
      </c>
      <c r="Z22" s="19">
        <f t="shared" si="3"/>
        <v>9.9999999999999534E-3</v>
      </c>
      <c r="AA22" s="4">
        <v>2.2999999999999998</v>
      </c>
      <c r="AB22" s="5">
        <v>3.5</v>
      </c>
      <c r="AC22" s="6">
        <v>6.3</v>
      </c>
      <c r="AD22" s="19">
        <f t="shared" si="4"/>
        <v>4</v>
      </c>
      <c r="AE22" s="4">
        <v>19</v>
      </c>
      <c r="AF22" s="5">
        <v>19</v>
      </c>
      <c r="AG22" s="6">
        <v>20</v>
      </c>
      <c r="AH22" s="4">
        <v>160</v>
      </c>
      <c r="AI22" s="5">
        <v>150</v>
      </c>
      <c r="AJ22" s="6">
        <v>163</v>
      </c>
      <c r="AK22" s="19">
        <f t="shared" si="5"/>
        <v>3</v>
      </c>
      <c r="AL22" s="4">
        <v>2</v>
      </c>
      <c r="AM22" s="5">
        <v>2</v>
      </c>
      <c r="AN22" s="6">
        <v>2</v>
      </c>
      <c r="AO22" s="19">
        <f t="shared" si="6"/>
        <v>0</v>
      </c>
      <c r="AP22" s="4">
        <v>1306</v>
      </c>
      <c r="AQ22" s="5">
        <v>1407</v>
      </c>
      <c r="AR22" s="6">
        <v>1608</v>
      </c>
      <c r="AS22" s="19">
        <f t="shared" si="7"/>
        <v>302</v>
      </c>
      <c r="AT22" s="4">
        <v>1131</v>
      </c>
      <c r="AU22" s="5">
        <v>1200</v>
      </c>
      <c r="AV22" s="6">
        <v>1345</v>
      </c>
      <c r="AW22" s="4">
        <v>10</v>
      </c>
      <c r="AX22" s="5">
        <v>5</v>
      </c>
      <c r="AY22" s="6">
        <v>9</v>
      </c>
      <c r="AZ22" s="19">
        <f t="shared" si="8"/>
        <v>-1</v>
      </c>
      <c r="BA22" s="4">
        <v>4</v>
      </c>
      <c r="BB22" s="5">
        <v>4</v>
      </c>
      <c r="BC22" s="6">
        <v>7</v>
      </c>
      <c r="BD22" s="19">
        <f t="shared" si="9"/>
        <v>3</v>
      </c>
      <c r="BE22" s="4">
        <v>4</v>
      </c>
      <c r="BF22" s="5">
        <v>4</v>
      </c>
      <c r="BG22" s="6">
        <v>4</v>
      </c>
      <c r="BH22" s="4">
        <v>1.07</v>
      </c>
      <c r="BJ22" s="6">
        <v>0.9</v>
      </c>
      <c r="BK22" s="19">
        <f t="shared" si="10"/>
        <v>-0.17000000000000004</v>
      </c>
      <c r="BL22" s="4">
        <v>4.99</v>
      </c>
      <c r="BN22" s="6">
        <v>4.63</v>
      </c>
      <c r="BO22" s="19">
        <f t="shared" si="11"/>
        <v>-0.36000000000000032</v>
      </c>
      <c r="BP22" s="4">
        <v>2265</v>
      </c>
      <c r="BR22" s="6">
        <v>2859</v>
      </c>
      <c r="BS22" s="19">
        <f>BR22-BP22</f>
        <v>594</v>
      </c>
      <c r="BT22" s="4">
        <v>4.4000000000000004</v>
      </c>
      <c r="BU22" s="5">
        <v>21.5</v>
      </c>
      <c r="BV22" s="6">
        <v>92.4</v>
      </c>
      <c r="BW22" s="19">
        <f>BV22-BT22</f>
        <v>88</v>
      </c>
      <c r="BX22" s="4">
        <v>12.1</v>
      </c>
      <c r="BY22" s="5">
        <v>1.1000000000000001</v>
      </c>
      <c r="BZ22" s="19">
        <f t="shared" si="13"/>
        <v>-11</v>
      </c>
      <c r="CA22" s="6">
        <v>1.5</v>
      </c>
      <c r="CB22" s="4">
        <v>25.6</v>
      </c>
      <c r="CC22" s="5">
        <v>27.5</v>
      </c>
      <c r="CD22" s="6">
        <v>10.8</v>
      </c>
    </row>
    <row r="23" spans="1:82" x14ac:dyDescent="0.25">
      <c r="A23" s="1" t="s">
        <v>14</v>
      </c>
      <c r="B23">
        <v>173</v>
      </c>
      <c r="C23" s="14">
        <v>2</v>
      </c>
      <c r="D23" s="2">
        <v>2</v>
      </c>
      <c r="E23" s="2">
        <v>5</v>
      </c>
      <c r="F23" s="14">
        <v>1</v>
      </c>
      <c r="G23" s="14">
        <v>1</v>
      </c>
      <c r="H23" s="14">
        <v>325</v>
      </c>
      <c r="I23" s="14">
        <v>1</v>
      </c>
      <c r="J23" s="14">
        <v>74</v>
      </c>
      <c r="K23" s="14">
        <v>2</v>
      </c>
      <c r="L23" s="14">
        <v>24.97</v>
      </c>
      <c r="M23" s="14"/>
      <c r="N23" s="14">
        <v>2.17</v>
      </c>
      <c r="O23" s="14" t="s">
        <v>126</v>
      </c>
      <c r="P23" s="14">
        <v>69</v>
      </c>
      <c r="Q23" s="14">
        <v>2</v>
      </c>
      <c r="R23" s="14">
        <v>19</v>
      </c>
      <c r="S23" s="14">
        <v>19.82</v>
      </c>
      <c r="T23" s="15">
        <f t="shared" si="0"/>
        <v>0.26477499999999998</v>
      </c>
      <c r="U23" s="16">
        <f t="shared" si="1"/>
        <v>0.27211000000000002</v>
      </c>
      <c r="V23" s="17">
        <f t="shared" si="2"/>
        <v>0.426145</v>
      </c>
      <c r="W23" s="4">
        <v>0.25</v>
      </c>
      <c r="X23" s="8">
        <v>0.26</v>
      </c>
      <c r="Y23" s="6">
        <v>0.47</v>
      </c>
      <c r="Z23" s="19">
        <f t="shared" si="3"/>
        <v>0.21999999999999997</v>
      </c>
      <c r="AA23" s="4">
        <v>3</v>
      </c>
      <c r="AB23" s="5">
        <v>4</v>
      </c>
      <c r="AC23" s="6">
        <v>8.3000000000000007</v>
      </c>
      <c r="AD23" s="19">
        <f t="shared" si="4"/>
        <v>5.3000000000000007</v>
      </c>
      <c r="AE23" s="4">
        <v>18</v>
      </c>
      <c r="AF23" s="5">
        <v>19</v>
      </c>
      <c r="AG23" s="6">
        <v>24</v>
      </c>
      <c r="AH23" s="4">
        <v>153</v>
      </c>
      <c r="AI23" s="5">
        <v>156</v>
      </c>
      <c r="AJ23" s="6">
        <v>161</v>
      </c>
      <c r="AK23" s="19">
        <f t="shared" si="5"/>
        <v>8</v>
      </c>
      <c r="AL23" s="4">
        <v>2</v>
      </c>
      <c r="AM23" s="5">
        <v>2</v>
      </c>
      <c r="AN23" s="6">
        <v>8</v>
      </c>
      <c r="AO23" s="19">
        <f t="shared" si="6"/>
        <v>6</v>
      </c>
      <c r="AP23" s="4">
        <v>72</v>
      </c>
      <c r="AQ23" s="5">
        <v>86</v>
      </c>
      <c r="AR23" s="6">
        <v>114</v>
      </c>
      <c r="AS23" s="19">
        <f t="shared" si="7"/>
        <v>42</v>
      </c>
      <c r="AW23" s="4">
        <v>7</v>
      </c>
      <c r="AX23" s="5">
        <v>12</v>
      </c>
      <c r="AY23" s="6">
        <v>53</v>
      </c>
      <c r="AZ23" s="19">
        <f t="shared" si="8"/>
        <v>46</v>
      </c>
      <c r="BA23" s="4">
        <v>24</v>
      </c>
      <c r="BB23" s="5">
        <v>43</v>
      </c>
      <c r="BC23" s="6">
        <v>139</v>
      </c>
      <c r="BD23" s="19">
        <f t="shared" si="9"/>
        <v>115</v>
      </c>
      <c r="BE23" s="4">
        <v>4</v>
      </c>
      <c r="BF23" s="5">
        <v>4</v>
      </c>
      <c r="BG23" s="6">
        <v>4</v>
      </c>
      <c r="BH23" s="4">
        <v>1.22</v>
      </c>
      <c r="BI23" s="5">
        <v>1.1499999999999999</v>
      </c>
      <c r="BJ23" s="6">
        <v>1.29</v>
      </c>
      <c r="BK23" s="19">
        <f t="shared" si="10"/>
        <v>7.0000000000000062E-2</v>
      </c>
      <c r="BL23" s="4">
        <v>4.5</v>
      </c>
      <c r="BM23" s="5">
        <v>4.58</v>
      </c>
      <c r="BN23" s="6">
        <v>5.21</v>
      </c>
      <c r="BO23" s="19">
        <f t="shared" si="11"/>
        <v>0.71</v>
      </c>
      <c r="BP23" s="4">
        <v>372</v>
      </c>
      <c r="BT23" s="4">
        <v>9.6999999999999993</v>
      </c>
      <c r="BX23" s="4">
        <v>3.6</v>
      </c>
      <c r="BY23" s="5">
        <v>1</v>
      </c>
      <c r="BZ23" s="19">
        <f t="shared" si="13"/>
        <v>-2.6</v>
      </c>
      <c r="CA23" s="6">
        <v>0.9</v>
      </c>
      <c r="CB23" s="4">
        <v>34.700000000000003</v>
      </c>
      <c r="CC23" s="5">
        <v>17.100000000000001</v>
      </c>
      <c r="CD23" s="6">
        <v>10.6</v>
      </c>
    </row>
    <row r="24" spans="1:82" x14ac:dyDescent="0.25">
      <c r="A24" s="1" t="s">
        <v>7</v>
      </c>
      <c r="B24" s="2">
        <v>112</v>
      </c>
      <c r="C24" s="2">
        <v>2</v>
      </c>
      <c r="D24" s="2">
        <v>2</v>
      </c>
      <c r="E24" s="2">
        <v>3</v>
      </c>
      <c r="F24" s="14">
        <v>1</v>
      </c>
      <c r="G24" s="14">
        <v>1</v>
      </c>
      <c r="H24" s="2">
        <v>586</v>
      </c>
      <c r="I24" s="2">
        <v>2</v>
      </c>
      <c r="J24" s="2">
        <v>25</v>
      </c>
      <c r="K24" s="2">
        <v>2</v>
      </c>
      <c r="L24" s="2">
        <v>22.65</v>
      </c>
      <c r="M24" s="2">
        <v>2.74</v>
      </c>
      <c r="N24" s="2">
        <v>1.9</v>
      </c>
      <c r="O24" s="2" t="s">
        <v>126</v>
      </c>
      <c r="P24" s="2">
        <v>42</v>
      </c>
      <c r="Q24" s="2">
        <v>2</v>
      </c>
      <c r="R24" s="2">
        <v>15</v>
      </c>
      <c r="S24" s="2">
        <v>20.45</v>
      </c>
      <c r="T24" s="15">
        <f t="shared" si="0"/>
        <v>0.29411500000000002</v>
      </c>
      <c r="U24" s="16">
        <f t="shared" si="1"/>
        <v>0.30878499999999998</v>
      </c>
      <c r="V24" s="17">
        <f t="shared" si="2"/>
        <v>0.49216000000000004</v>
      </c>
      <c r="W24" s="4">
        <v>0.28999999999999998</v>
      </c>
      <c r="X24" s="8">
        <v>0.31</v>
      </c>
      <c r="Y24" s="6">
        <v>0.56000000000000005</v>
      </c>
      <c r="Z24" s="19">
        <f t="shared" si="3"/>
        <v>0.27000000000000007</v>
      </c>
      <c r="AA24" s="4">
        <v>3.5</v>
      </c>
      <c r="AB24" s="5">
        <v>5.6</v>
      </c>
      <c r="AC24" s="6">
        <v>19.600000000000001</v>
      </c>
      <c r="AD24" s="19">
        <f t="shared" si="4"/>
        <v>16.100000000000001</v>
      </c>
      <c r="AE24" s="4">
        <v>26</v>
      </c>
      <c r="AF24" s="5">
        <v>27</v>
      </c>
      <c r="AG24" s="6">
        <v>27</v>
      </c>
      <c r="AH24" s="4">
        <v>159</v>
      </c>
      <c r="AI24" s="5">
        <v>159</v>
      </c>
      <c r="AJ24" s="6">
        <v>165</v>
      </c>
      <c r="AK24" s="19">
        <f t="shared" si="5"/>
        <v>6</v>
      </c>
      <c r="AL24" s="4">
        <v>2</v>
      </c>
      <c r="AM24" s="5">
        <v>2</v>
      </c>
      <c r="AN24" s="6">
        <v>78</v>
      </c>
      <c r="AO24" s="19">
        <f t="shared" si="6"/>
        <v>76</v>
      </c>
      <c r="AP24" s="4">
        <v>561</v>
      </c>
      <c r="AQ24" s="5">
        <v>1154</v>
      </c>
      <c r="AR24" s="6">
        <v>2109</v>
      </c>
      <c r="AS24" s="19">
        <f t="shared" si="7"/>
        <v>1548</v>
      </c>
      <c r="AW24" s="4">
        <v>21</v>
      </c>
      <c r="AX24" s="5">
        <v>45</v>
      </c>
      <c r="AY24" s="6">
        <v>120</v>
      </c>
      <c r="AZ24" s="19">
        <f t="shared" si="8"/>
        <v>99</v>
      </c>
      <c r="BA24" s="4">
        <v>21</v>
      </c>
      <c r="BB24" s="5">
        <v>59</v>
      </c>
      <c r="BC24" s="6">
        <v>154</v>
      </c>
      <c r="BD24" s="19">
        <f t="shared" si="9"/>
        <v>133</v>
      </c>
      <c r="BE24" s="4">
        <v>4</v>
      </c>
      <c r="BF24" s="5">
        <v>4</v>
      </c>
      <c r="BG24" s="6">
        <v>4</v>
      </c>
      <c r="BH24" s="4">
        <v>1.24</v>
      </c>
      <c r="BI24" s="5">
        <v>1.25</v>
      </c>
      <c r="BJ24" s="6">
        <v>1.17</v>
      </c>
      <c r="BK24" s="19">
        <f t="shared" si="10"/>
        <v>-7.0000000000000062E-2</v>
      </c>
      <c r="BL24" s="4">
        <v>5.16</v>
      </c>
      <c r="BM24" s="5">
        <v>4.72</v>
      </c>
      <c r="BN24" s="6">
        <v>3.71</v>
      </c>
      <c r="BO24" s="19">
        <f t="shared" si="11"/>
        <v>-1.4500000000000002</v>
      </c>
      <c r="BP24" s="4">
        <v>1521</v>
      </c>
      <c r="BQ24" s="5">
        <v>1995</v>
      </c>
      <c r="BR24" s="6">
        <v>1995</v>
      </c>
      <c r="BS24" s="19">
        <f>BR24-BP24</f>
        <v>474</v>
      </c>
      <c r="BT24" s="4">
        <v>16.5</v>
      </c>
      <c r="BU24" s="5">
        <v>45.6</v>
      </c>
      <c r="BV24" s="6">
        <v>338.9</v>
      </c>
      <c r="BW24" s="19">
        <f t="shared" ref="BW24:BW29" si="14">BV24-BT24</f>
        <v>322.39999999999998</v>
      </c>
      <c r="BX24" s="4">
        <v>13.7</v>
      </c>
      <c r="BY24" s="5">
        <v>1.1000000000000001</v>
      </c>
      <c r="BZ24" s="19">
        <f t="shared" si="13"/>
        <v>-12.6</v>
      </c>
      <c r="CA24" s="6">
        <v>0.6</v>
      </c>
      <c r="CB24" s="4">
        <v>17.2</v>
      </c>
      <c r="CC24" s="5">
        <v>19.600000000000001</v>
      </c>
      <c r="CD24" s="6">
        <v>6.9</v>
      </c>
    </row>
    <row r="25" spans="1:82" x14ac:dyDescent="0.25">
      <c r="A25" s="1" t="s">
        <v>18</v>
      </c>
      <c r="B25" s="2">
        <v>183</v>
      </c>
      <c r="C25" s="14">
        <v>2</v>
      </c>
      <c r="D25" s="14">
        <v>2</v>
      </c>
      <c r="E25" s="14">
        <v>2</v>
      </c>
      <c r="F25" s="14">
        <v>1</v>
      </c>
      <c r="G25" s="14">
        <v>1</v>
      </c>
      <c r="H25" s="14">
        <v>260</v>
      </c>
      <c r="I25" s="14">
        <v>1</v>
      </c>
      <c r="J25" s="14">
        <v>48</v>
      </c>
      <c r="K25" s="14">
        <v>2</v>
      </c>
      <c r="L25" s="14">
        <v>23.14</v>
      </c>
      <c r="M25" s="14">
        <v>1.01</v>
      </c>
      <c r="N25" s="14">
        <v>1.51</v>
      </c>
      <c r="O25" s="14" t="s">
        <v>126</v>
      </c>
      <c r="P25" s="14">
        <v>52</v>
      </c>
      <c r="Q25" s="14">
        <v>2</v>
      </c>
      <c r="R25" s="14">
        <v>7</v>
      </c>
      <c r="S25" s="14">
        <v>23.12</v>
      </c>
      <c r="T25" s="15">
        <f t="shared" si="0"/>
        <v>0.32345500000000005</v>
      </c>
      <c r="U25" s="16">
        <f t="shared" si="1"/>
        <v>0.49949500000000002</v>
      </c>
      <c r="V25" s="17">
        <f t="shared" si="2"/>
        <v>0.72688000000000008</v>
      </c>
      <c r="W25" s="4">
        <v>0.33</v>
      </c>
      <c r="X25" s="8">
        <v>0.56999999999999995</v>
      </c>
      <c r="Y25" s="6">
        <v>0.88</v>
      </c>
      <c r="Z25" s="19">
        <f t="shared" si="3"/>
        <v>0.55000000000000004</v>
      </c>
      <c r="AA25" s="4">
        <v>2.2999999999999998</v>
      </c>
      <c r="AB25" s="5">
        <v>4.0999999999999996</v>
      </c>
      <c r="AC25" s="6">
        <v>6.4</v>
      </c>
      <c r="AD25" s="19">
        <f t="shared" si="4"/>
        <v>4.1000000000000005</v>
      </c>
      <c r="AE25" s="4">
        <v>21</v>
      </c>
      <c r="AF25" s="5">
        <v>23</v>
      </c>
      <c r="AG25" s="6">
        <v>24</v>
      </c>
      <c r="AH25" s="4">
        <v>153</v>
      </c>
      <c r="AI25" s="5">
        <v>161</v>
      </c>
      <c r="AJ25" s="6">
        <v>159</v>
      </c>
      <c r="AK25" s="19">
        <f t="shared" si="5"/>
        <v>6</v>
      </c>
      <c r="AL25" s="4">
        <v>2</v>
      </c>
      <c r="AM25" s="5">
        <v>2</v>
      </c>
      <c r="AN25" s="6">
        <v>2</v>
      </c>
      <c r="AO25" s="19">
        <f t="shared" si="6"/>
        <v>0</v>
      </c>
      <c r="AP25" s="4">
        <v>767</v>
      </c>
      <c r="AQ25" s="5">
        <v>874</v>
      </c>
      <c r="AR25" s="6">
        <v>687</v>
      </c>
      <c r="AS25" s="19">
        <f t="shared" si="7"/>
        <v>-80</v>
      </c>
      <c r="AV25" s="6">
        <v>668</v>
      </c>
      <c r="AW25" s="4">
        <v>5</v>
      </c>
      <c r="AX25" s="5">
        <v>5</v>
      </c>
      <c r="AY25" s="6">
        <v>5</v>
      </c>
      <c r="AZ25" s="19">
        <f t="shared" si="8"/>
        <v>0</v>
      </c>
      <c r="BA25" s="4">
        <v>4</v>
      </c>
      <c r="BB25" s="5">
        <v>4</v>
      </c>
      <c r="BC25" s="6">
        <v>4</v>
      </c>
      <c r="BD25" s="19">
        <f t="shared" si="9"/>
        <v>0</v>
      </c>
      <c r="BE25" s="4">
        <v>4</v>
      </c>
      <c r="BF25" s="5">
        <v>4</v>
      </c>
      <c r="BG25" s="6">
        <v>4</v>
      </c>
      <c r="BH25" s="4">
        <v>1.47</v>
      </c>
      <c r="BI25" s="5">
        <v>1.35</v>
      </c>
      <c r="BJ25" s="6">
        <v>1.1200000000000001</v>
      </c>
      <c r="BK25" s="19">
        <f t="shared" si="10"/>
        <v>-0.34999999999999987</v>
      </c>
      <c r="BL25" s="4">
        <v>5.09</v>
      </c>
      <c r="BM25" s="5">
        <v>5.26</v>
      </c>
      <c r="BN25" s="6">
        <v>4.3899999999999997</v>
      </c>
      <c r="BO25" s="19">
        <f t="shared" si="11"/>
        <v>-0.70000000000000018</v>
      </c>
      <c r="BP25" s="4">
        <v>1808</v>
      </c>
      <c r="BQ25" s="5">
        <v>2157</v>
      </c>
      <c r="BR25" s="6">
        <v>1735</v>
      </c>
      <c r="BS25" s="19">
        <f>BR25-BP25</f>
        <v>-73</v>
      </c>
      <c r="BT25" s="4">
        <v>5</v>
      </c>
      <c r="BU25" s="5">
        <v>19</v>
      </c>
      <c r="BV25" s="6">
        <v>45.8</v>
      </c>
      <c r="BW25" s="19">
        <f t="shared" si="14"/>
        <v>40.799999999999997</v>
      </c>
    </row>
    <row r="26" spans="1:82" x14ac:dyDescent="0.25">
      <c r="A26" s="1" t="s">
        <v>28</v>
      </c>
      <c r="B26" s="2">
        <v>245</v>
      </c>
      <c r="C26" s="14">
        <v>2</v>
      </c>
      <c r="D26" s="14">
        <v>2</v>
      </c>
      <c r="E26" s="14">
        <v>2</v>
      </c>
      <c r="F26" s="14">
        <v>1</v>
      </c>
      <c r="G26" s="14">
        <v>1</v>
      </c>
      <c r="H26" s="14">
        <v>505</v>
      </c>
      <c r="I26" s="14">
        <v>2</v>
      </c>
      <c r="J26" s="14">
        <v>62</v>
      </c>
      <c r="K26" s="14">
        <v>2</v>
      </c>
      <c r="L26" s="14">
        <v>19.329999999999998</v>
      </c>
      <c r="M26" s="14"/>
      <c r="N26" s="14">
        <v>2.5099999999999998</v>
      </c>
      <c r="O26" s="14" t="s">
        <v>125</v>
      </c>
      <c r="P26" s="14">
        <v>67</v>
      </c>
      <c r="Q26" s="14">
        <v>1</v>
      </c>
      <c r="R26" s="14">
        <v>12</v>
      </c>
      <c r="S26" s="14">
        <v>24.94</v>
      </c>
      <c r="T26" s="15">
        <f t="shared" si="0"/>
        <v>0.426145</v>
      </c>
      <c r="U26" s="16">
        <f t="shared" si="1"/>
        <v>0.72688000000000008</v>
      </c>
      <c r="V26" s="17">
        <f t="shared" si="2"/>
        <v>0.82957000000000003</v>
      </c>
      <c r="W26" s="4">
        <v>0.47</v>
      </c>
      <c r="X26" s="8">
        <v>0.88</v>
      </c>
      <c r="Y26" s="6">
        <v>1.02</v>
      </c>
      <c r="Z26" s="19">
        <f t="shared" si="3"/>
        <v>0.55000000000000004</v>
      </c>
      <c r="AA26" s="4">
        <v>2.7</v>
      </c>
      <c r="AB26" s="5">
        <v>7</v>
      </c>
      <c r="AC26" s="6">
        <v>13.7</v>
      </c>
      <c r="AD26" s="19">
        <f t="shared" si="4"/>
        <v>11</v>
      </c>
      <c r="AE26" s="4">
        <v>18</v>
      </c>
      <c r="AF26" s="5">
        <v>18</v>
      </c>
      <c r="AG26" s="6">
        <v>21</v>
      </c>
      <c r="AH26" s="4">
        <v>148</v>
      </c>
      <c r="AI26" s="5">
        <v>145</v>
      </c>
      <c r="AJ26" s="6">
        <v>145</v>
      </c>
      <c r="AK26" s="19">
        <f t="shared" si="5"/>
        <v>-3</v>
      </c>
      <c r="AL26" s="4">
        <v>2</v>
      </c>
      <c r="AM26" s="5">
        <v>2</v>
      </c>
      <c r="AN26" s="6">
        <v>2</v>
      </c>
      <c r="AO26" s="19">
        <f t="shared" si="6"/>
        <v>0</v>
      </c>
      <c r="AP26" s="4">
        <v>327</v>
      </c>
      <c r="AQ26" s="5">
        <v>435</v>
      </c>
      <c r="AR26" s="6">
        <v>419</v>
      </c>
      <c r="AS26" s="19">
        <f t="shared" si="7"/>
        <v>92</v>
      </c>
      <c r="AW26" s="4">
        <v>5</v>
      </c>
      <c r="AX26" s="5">
        <v>13</v>
      </c>
      <c r="AY26" s="6">
        <v>22</v>
      </c>
      <c r="AZ26" s="19">
        <f t="shared" si="8"/>
        <v>17</v>
      </c>
      <c r="BA26" s="4">
        <v>4</v>
      </c>
      <c r="BB26" s="5">
        <v>8</v>
      </c>
      <c r="BC26" s="6">
        <v>13</v>
      </c>
      <c r="BD26" s="19">
        <f t="shared" si="9"/>
        <v>9</v>
      </c>
      <c r="BE26" s="4">
        <v>4</v>
      </c>
      <c r="BF26" s="5">
        <v>4</v>
      </c>
      <c r="BG26" s="6">
        <v>4</v>
      </c>
      <c r="BH26" s="4">
        <v>1.65</v>
      </c>
      <c r="BI26" s="5">
        <v>1.78</v>
      </c>
      <c r="BJ26" s="6">
        <v>1.55</v>
      </c>
      <c r="BK26" s="19">
        <f t="shared" si="10"/>
        <v>-9.9999999999999867E-2</v>
      </c>
      <c r="BL26" s="4">
        <v>5.19</v>
      </c>
      <c r="BM26" s="5">
        <v>6.03</v>
      </c>
      <c r="BN26" s="6">
        <v>5.66</v>
      </c>
      <c r="BO26" s="19">
        <f t="shared" si="11"/>
        <v>0.46999999999999975</v>
      </c>
      <c r="BW26" s="19">
        <f t="shared" si="14"/>
        <v>0</v>
      </c>
    </row>
    <row r="27" spans="1:82" x14ac:dyDescent="0.25">
      <c r="A27" s="1" t="s">
        <v>22</v>
      </c>
      <c r="B27" s="2">
        <v>197</v>
      </c>
      <c r="C27" s="3">
        <v>2</v>
      </c>
      <c r="D27" s="14">
        <v>2</v>
      </c>
      <c r="E27" s="14">
        <v>2</v>
      </c>
      <c r="F27" s="14">
        <v>1</v>
      </c>
      <c r="G27" s="14">
        <v>1</v>
      </c>
      <c r="H27" s="14">
        <v>1019</v>
      </c>
      <c r="I27" s="14">
        <v>1</v>
      </c>
      <c r="J27" s="14">
        <v>73</v>
      </c>
      <c r="K27" s="14">
        <v>2</v>
      </c>
      <c r="L27" s="14">
        <v>17.59</v>
      </c>
      <c r="M27" s="14">
        <v>2.82</v>
      </c>
      <c r="N27" s="14">
        <v>2.11</v>
      </c>
      <c r="O27" s="14" t="s">
        <v>125</v>
      </c>
      <c r="P27" s="14">
        <v>53</v>
      </c>
      <c r="Q27" s="14">
        <v>2</v>
      </c>
      <c r="R27" s="14">
        <v>13</v>
      </c>
      <c r="S27" s="14">
        <v>22.55</v>
      </c>
      <c r="T27" s="15">
        <f t="shared" si="0"/>
        <v>0.30878499999999998</v>
      </c>
      <c r="U27" s="16">
        <f t="shared" si="1"/>
        <v>0.33812500000000001</v>
      </c>
      <c r="V27" s="17">
        <f t="shared" si="2"/>
        <v>0.82957000000000003</v>
      </c>
      <c r="W27" s="4">
        <v>0.31</v>
      </c>
      <c r="X27" s="8">
        <v>0.35</v>
      </c>
      <c r="Y27" s="6">
        <v>1.02</v>
      </c>
      <c r="Z27" s="19">
        <f t="shared" si="3"/>
        <v>0.71</v>
      </c>
      <c r="AA27" s="4">
        <v>1.8</v>
      </c>
      <c r="AB27" s="5">
        <v>0.3</v>
      </c>
      <c r="AC27" s="6">
        <v>22.7</v>
      </c>
      <c r="AD27" s="19">
        <f t="shared" si="4"/>
        <v>20.9</v>
      </c>
      <c r="AE27" s="4">
        <v>13</v>
      </c>
      <c r="AF27" s="5">
        <v>14</v>
      </c>
      <c r="AG27" s="6">
        <v>17</v>
      </c>
      <c r="AH27" s="4">
        <v>149</v>
      </c>
      <c r="AI27" s="5">
        <v>153</v>
      </c>
      <c r="AJ27" s="6">
        <v>161</v>
      </c>
      <c r="AK27" s="19">
        <f t="shared" si="5"/>
        <v>12</v>
      </c>
      <c r="AL27" s="4">
        <v>2</v>
      </c>
      <c r="AM27" s="5">
        <v>2</v>
      </c>
      <c r="AN27" s="6">
        <v>13</v>
      </c>
      <c r="AO27" s="19">
        <f t="shared" si="6"/>
        <v>11</v>
      </c>
      <c r="AP27" s="4">
        <v>117</v>
      </c>
      <c r="AQ27" s="5">
        <v>123</v>
      </c>
      <c r="AR27" s="6">
        <v>270</v>
      </c>
      <c r="AS27" s="19">
        <f t="shared" si="7"/>
        <v>153</v>
      </c>
      <c r="AW27" s="4">
        <v>5</v>
      </c>
      <c r="AX27" s="5">
        <v>7</v>
      </c>
      <c r="AY27" s="6">
        <v>394</v>
      </c>
      <c r="AZ27" s="19">
        <f t="shared" si="8"/>
        <v>389</v>
      </c>
      <c r="BA27" s="4">
        <v>4</v>
      </c>
      <c r="BB27" s="5">
        <v>4</v>
      </c>
      <c r="BC27" s="6">
        <v>155</v>
      </c>
      <c r="BD27" s="19">
        <f t="shared" si="9"/>
        <v>151</v>
      </c>
      <c r="BE27" s="4">
        <v>4</v>
      </c>
      <c r="BF27" s="5">
        <v>4</v>
      </c>
      <c r="BG27" s="6">
        <v>4</v>
      </c>
      <c r="BH27" s="4">
        <v>1.08</v>
      </c>
      <c r="BI27" s="5">
        <v>1.1200000000000001</v>
      </c>
      <c r="BJ27" s="6">
        <v>1.17</v>
      </c>
      <c r="BK27" s="19">
        <f t="shared" si="10"/>
        <v>8.9999999999999858E-2</v>
      </c>
      <c r="BL27" s="4">
        <v>4.83</v>
      </c>
      <c r="BM27" s="5">
        <v>4.78</v>
      </c>
      <c r="BN27" s="6">
        <v>4.57</v>
      </c>
      <c r="BO27" s="19">
        <f t="shared" si="11"/>
        <v>-0.25999999999999979</v>
      </c>
      <c r="BP27" s="4">
        <v>734</v>
      </c>
      <c r="BQ27" s="5">
        <v>737</v>
      </c>
      <c r="BR27" s="6">
        <v>1856</v>
      </c>
      <c r="BS27" s="19">
        <f>BR27-BP27</f>
        <v>1122</v>
      </c>
      <c r="BT27" s="4">
        <v>8.9</v>
      </c>
      <c r="BU27" s="5">
        <v>15.6</v>
      </c>
      <c r="BV27" s="6">
        <v>218.7</v>
      </c>
      <c r="BW27" s="19">
        <f t="shared" si="14"/>
        <v>209.79999999999998</v>
      </c>
      <c r="BX27" s="4">
        <v>10.1</v>
      </c>
      <c r="BY27" s="5">
        <v>1.3</v>
      </c>
      <c r="BZ27" s="19">
        <f>BY27-BX27</f>
        <v>-8.7999999999999989</v>
      </c>
      <c r="CA27" s="6">
        <v>0.2</v>
      </c>
      <c r="CB27" s="4">
        <v>18.600000000000001</v>
      </c>
      <c r="CC27" s="5">
        <v>19.3</v>
      </c>
      <c r="CD27" s="6">
        <v>4.2</v>
      </c>
    </row>
    <row r="28" spans="1:82" x14ac:dyDescent="0.25">
      <c r="A28" s="1" t="s">
        <v>23</v>
      </c>
      <c r="B28" s="2">
        <v>203</v>
      </c>
      <c r="C28" s="3">
        <v>2</v>
      </c>
      <c r="D28" s="14">
        <v>2</v>
      </c>
      <c r="E28" s="14">
        <v>5</v>
      </c>
      <c r="F28" s="14">
        <v>1</v>
      </c>
      <c r="G28" s="14">
        <v>1</v>
      </c>
      <c r="H28" s="14">
        <v>314</v>
      </c>
      <c r="I28" s="14">
        <v>1</v>
      </c>
      <c r="J28" s="14">
        <v>73</v>
      </c>
      <c r="K28" s="14">
        <v>2</v>
      </c>
      <c r="L28" s="14">
        <v>22.76</v>
      </c>
      <c r="M28" s="14">
        <v>1.43</v>
      </c>
      <c r="N28" s="14">
        <v>2.1</v>
      </c>
      <c r="O28" s="14" t="s">
        <v>126</v>
      </c>
      <c r="P28" s="14">
        <v>41</v>
      </c>
      <c r="Q28" s="14">
        <v>2</v>
      </c>
      <c r="R28" s="14">
        <v>21</v>
      </c>
      <c r="S28" s="14">
        <v>24.51</v>
      </c>
      <c r="T28" s="15">
        <f t="shared" si="0"/>
        <v>0.61685500000000004</v>
      </c>
      <c r="U28" s="16">
        <f t="shared" si="1"/>
        <v>0.61685500000000004</v>
      </c>
      <c r="V28" s="17">
        <f t="shared" si="2"/>
        <v>1.4823849999999998</v>
      </c>
      <c r="W28" s="4">
        <v>0.73</v>
      </c>
      <c r="X28" s="8">
        <v>0.73</v>
      </c>
      <c r="Y28" s="6">
        <v>1.91</v>
      </c>
      <c r="Z28" s="19">
        <f t="shared" si="3"/>
        <v>1.18</v>
      </c>
      <c r="AA28" s="4">
        <v>4.8</v>
      </c>
      <c r="AB28" s="5">
        <v>5.5</v>
      </c>
      <c r="AC28" s="6">
        <v>9.1</v>
      </c>
      <c r="AD28" s="19">
        <f t="shared" si="4"/>
        <v>4.3</v>
      </c>
      <c r="AE28" s="4">
        <v>20</v>
      </c>
      <c r="AF28" s="5">
        <v>19</v>
      </c>
      <c r="AG28" s="6">
        <v>20</v>
      </c>
      <c r="AH28" s="4">
        <v>143</v>
      </c>
      <c r="AI28" s="5">
        <v>143</v>
      </c>
      <c r="AJ28" s="6">
        <v>149</v>
      </c>
      <c r="AK28" s="19">
        <f t="shared" si="5"/>
        <v>6</v>
      </c>
      <c r="AL28" s="4">
        <v>2</v>
      </c>
      <c r="AM28" s="5">
        <v>2</v>
      </c>
      <c r="AN28" s="6">
        <v>13</v>
      </c>
      <c r="AO28" s="19">
        <f t="shared" si="6"/>
        <v>11</v>
      </c>
      <c r="AP28" s="4">
        <v>298</v>
      </c>
      <c r="AQ28" s="5">
        <v>282</v>
      </c>
      <c r="AR28" s="6">
        <v>331</v>
      </c>
      <c r="AS28" s="19">
        <f t="shared" si="7"/>
        <v>33</v>
      </c>
      <c r="AW28" s="4">
        <v>5</v>
      </c>
      <c r="AX28" s="5">
        <v>10</v>
      </c>
      <c r="AY28" s="6">
        <v>136</v>
      </c>
      <c r="AZ28" s="19">
        <f t="shared" si="8"/>
        <v>131</v>
      </c>
      <c r="BA28" s="4">
        <v>7</v>
      </c>
      <c r="BB28" s="5">
        <v>16</v>
      </c>
      <c r="BC28" s="6">
        <v>190</v>
      </c>
      <c r="BD28" s="19">
        <f t="shared" si="9"/>
        <v>183</v>
      </c>
      <c r="BE28" s="4">
        <v>4</v>
      </c>
      <c r="BF28" s="5">
        <v>4</v>
      </c>
      <c r="BG28" s="6">
        <v>4</v>
      </c>
      <c r="BH28" s="4">
        <v>1.32</v>
      </c>
      <c r="BI28" s="5">
        <v>1.23</v>
      </c>
      <c r="BJ28" s="6">
        <v>1.27</v>
      </c>
      <c r="BK28" s="19">
        <f t="shared" si="10"/>
        <v>-5.0000000000000044E-2</v>
      </c>
      <c r="BL28" s="4">
        <v>4.33</v>
      </c>
      <c r="BM28" s="5">
        <v>4.09</v>
      </c>
      <c r="BN28" s="6">
        <v>3.76</v>
      </c>
      <c r="BO28" s="19">
        <f t="shared" si="11"/>
        <v>-0.57000000000000028</v>
      </c>
      <c r="BP28" s="4">
        <v>1049</v>
      </c>
      <c r="BQ28" s="5">
        <v>1100</v>
      </c>
      <c r="BR28" s="6">
        <v>1369</v>
      </c>
      <c r="BS28" s="19">
        <f>BR28-BP28</f>
        <v>320</v>
      </c>
      <c r="BT28" s="4">
        <v>7.4</v>
      </c>
      <c r="BU28" s="5">
        <v>10.7</v>
      </c>
      <c r="BV28" s="6">
        <v>29.7</v>
      </c>
      <c r="BW28" s="19">
        <f t="shared" si="14"/>
        <v>22.299999999999997</v>
      </c>
      <c r="BX28" s="4">
        <v>9.8000000000000007</v>
      </c>
      <c r="BY28" s="5">
        <v>1.5</v>
      </c>
      <c r="BZ28" s="19">
        <f>BY28-BX28</f>
        <v>-8.3000000000000007</v>
      </c>
      <c r="CA28" s="6">
        <v>0.1</v>
      </c>
      <c r="CB28" s="4">
        <v>30</v>
      </c>
      <c r="CC28" s="5">
        <v>13.9</v>
      </c>
      <c r="CD28" s="6">
        <v>10.5</v>
      </c>
    </row>
    <row r="29" spans="1:82" x14ac:dyDescent="0.25">
      <c r="A29" s="1" t="s">
        <v>20</v>
      </c>
      <c r="B29" s="2">
        <v>189</v>
      </c>
      <c r="C29" s="14">
        <v>2</v>
      </c>
      <c r="D29" s="14">
        <v>2</v>
      </c>
      <c r="E29" s="14">
        <v>3</v>
      </c>
      <c r="F29" s="14">
        <v>1</v>
      </c>
      <c r="G29" s="14">
        <v>1</v>
      </c>
      <c r="H29" s="14">
        <v>1049</v>
      </c>
      <c r="I29" s="14">
        <v>1</v>
      </c>
      <c r="J29" s="14">
        <v>68</v>
      </c>
      <c r="K29" s="14">
        <v>2</v>
      </c>
      <c r="L29" s="14">
        <v>32.11</v>
      </c>
      <c r="M29" s="14"/>
      <c r="N29" s="14">
        <v>1.96</v>
      </c>
      <c r="O29" s="14" t="s">
        <v>127</v>
      </c>
      <c r="P29" s="14">
        <v>52</v>
      </c>
      <c r="Q29" s="14">
        <v>1</v>
      </c>
      <c r="R29" s="14">
        <v>24</v>
      </c>
      <c r="S29" s="14">
        <v>25.18</v>
      </c>
      <c r="T29" s="15">
        <f t="shared" si="0"/>
        <v>0.176755</v>
      </c>
      <c r="U29" s="16">
        <f t="shared" si="1"/>
        <v>0.16942000000000002</v>
      </c>
      <c r="V29" s="17">
        <f t="shared" si="2"/>
        <v>1.7904550000000001</v>
      </c>
      <c r="W29" s="4">
        <v>0.13</v>
      </c>
      <c r="X29" s="8">
        <v>0.12</v>
      </c>
      <c r="Y29" s="6">
        <v>2.33</v>
      </c>
      <c r="Z29" s="19">
        <f t="shared" si="3"/>
        <v>2.2000000000000002</v>
      </c>
      <c r="AA29" s="4">
        <v>3.6</v>
      </c>
      <c r="AB29" s="5">
        <v>4.5</v>
      </c>
      <c r="AC29" s="6">
        <v>28.9</v>
      </c>
      <c r="AD29" s="19">
        <f t="shared" si="4"/>
        <v>25.299999999999997</v>
      </c>
      <c r="AE29" s="4">
        <v>27</v>
      </c>
      <c r="AF29" s="5">
        <v>28</v>
      </c>
      <c r="AG29" s="6">
        <v>44</v>
      </c>
      <c r="AH29" s="4">
        <v>150</v>
      </c>
      <c r="AI29" s="5">
        <v>152</v>
      </c>
      <c r="AJ29" s="6">
        <v>173</v>
      </c>
      <c r="AK29" s="19">
        <f t="shared" si="5"/>
        <v>23</v>
      </c>
      <c r="AL29" s="4">
        <v>2</v>
      </c>
      <c r="AM29" s="5">
        <v>2</v>
      </c>
      <c r="AN29" s="6">
        <v>108</v>
      </c>
      <c r="AO29" s="19">
        <f t="shared" si="6"/>
        <v>106</v>
      </c>
      <c r="AP29" s="4">
        <v>541</v>
      </c>
      <c r="AQ29" s="5">
        <v>529</v>
      </c>
      <c r="AR29" s="6">
        <v>502</v>
      </c>
      <c r="AS29" s="19">
        <f t="shared" si="7"/>
        <v>-39</v>
      </c>
      <c r="AW29" s="4">
        <v>5</v>
      </c>
      <c r="AX29" s="5">
        <v>5</v>
      </c>
      <c r="AY29" s="6">
        <v>152</v>
      </c>
      <c r="AZ29" s="19">
        <f t="shared" si="8"/>
        <v>147</v>
      </c>
      <c r="BA29" s="4">
        <v>4</v>
      </c>
      <c r="BB29" s="5">
        <v>4</v>
      </c>
      <c r="BC29" s="6">
        <v>101</v>
      </c>
      <c r="BD29" s="19">
        <f t="shared" si="9"/>
        <v>97</v>
      </c>
      <c r="BE29" s="4">
        <v>4</v>
      </c>
      <c r="BF29" s="5">
        <v>4</v>
      </c>
      <c r="BG29" s="6">
        <v>4</v>
      </c>
      <c r="BH29" s="4">
        <v>0.98</v>
      </c>
      <c r="BI29" s="5">
        <v>0.97</v>
      </c>
      <c r="BJ29" s="6">
        <v>1.03</v>
      </c>
      <c r="BK29" s="19">
        <f t="shared" si="10"/>
        <v>5.0000000000000044E-2</v>
      </c>
      <c r="BL29" s="4">
        <v>4.3</v>
      </c>
      <c r="BM29" s="5">
        <v>4.3099999999999996</v>
      </c>
      <c r="BN29" s="6">
        <v>7.05</v>
      </c>
      <c r="BO29" s="19">
        <f t="shared" si="11"/>
        <v>2.75</v>
      </c>
      <c r="BP29" s="4">
        <v>1475</v>
      </c>
      <c r="BQ29" s="5">
        <v>1460</v>
      </c>
      <c r="BR29" s="6">
        <v>2221</v>
      </c>
      <c r="BS29" s="19">
        <f>BR29-BP29</f>
        <v>746</v>
      </c>
      <c r="BT29" s="4">
        <v>13.3</v>
      </c>
      <c r="BU29" s="5">
        <v>23.8</v>
      </c>
      <c r="BV29" s="6">
        <v>233.2</v>
      </c>
      <c r="BW29" s="19">
        <f t="shared" si="14"/>
        <v>219.89999999999998</v>
      </c>
      <c r="BY29" s="5">
        <v>1.1000000000000001</v>
      </c>
      <c r="CA29" s="6">
        <v>0</v>
      </c>
      <c r="CC29" s="5">
        <v>27.8</v>
      </c>
      <c r="CD29" s="6">
        <v>0</v>
      </c>
    </row>
  </sheetData>
  <sortState ref="A2:CD29">
    <sortCondition ref="Z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80"/>
  <sheetViews>
    <sheetView tabSelected="1" workbookViewId="0">
      <pane xSplit="1" topLeftCell="B1" activePane="topRight" state="frozen"/>
      <selection pane="topRight" activeCell="A6" sqref="A6:XFD6"/>
    </sheetView>
  </sheetViews>
  <sheetFormatPr defaultColWidth="11" defaultRowHeight="15.75" x14ac:dyDescent="0.25"/>
  <cols>
    <col min="4" max="4" width="24.125" customWidth="1"/>
    <col min="5" max="7" width="24.625" customWidth="1"/>
    <col min="8" max="19" width="23" customWidth="1"/>
    <col min="20" max="20" width="16.5" style="4" customWidth="1"/>
    <col min="21" max="21" width="15.5" style="5" customWidth="1"/>
    <col min="22" max="22" width="15.875" style="6" customWidth="1"/>
    <col min="23" max="23" width="18.5" style="4" customWidth="1"/>
    <col min="24" max="24" width="19.625" style="5" customWidth="1"/>
    <col min="25" max="25" width="19.875" customWidth="1"/>
    <col min="26" max="26" width="19.875" style="19" customWidth="1"/>
    <col min="27" max="27" width="16.5" style="4" customWidth="1"/>
    <col min="28" max="28" width="16.625" style="5" customWidth="1"/>
    <col min="29" max="29" width="16.375" customWidth="1"/>
    <col min="30" max="30" width="16.375" style="19" customWidth="1"/>
    <col min="31" max="31" width="16.5" style="4" customWidth="1"/>
    <col min="32" max="32" width="20.875" customWidth="1"/>
    <col min="33" max="33" width="23" customWidth="1"/>
    <col min="34" max="34" width="16.5" style="4" customWidth="1"/>
    <col min="35" max="35" width="19.375" customWidth="1"/>
    <col min="36" max="36" width="18.375" customWidth="1"/>
    <col min="37" max="37" width="18.375" style="19" customWidth="1"/>
    <col min="38" max="38" width="16.5" style="4" customWidth="1"/>
    <col min="39" max="39" width="20.125" customWidth="1"/>
    <col min="40" max="40" width="19.375" customWidth="1"/>
    <col min="41" max="41" width="19.375" style="19" customWidth="1"/>
    <col min="42" max="42" width="16.5" style="4" customWidth="1"/>
    <col min="43" max="43" width="12.375" customWidth="1"/>
    <col min="44" max="44" width="13.125" customWidth="1"/>
    <col min="45" max="45" width="13.125" style="19" customWidth="1"/>
    <col min="46" max="46" width="16.5" style="4" customWidth="1"/>
    <col min="47" max="47" width="12.5" customWidth="1"/>
    <col min="48" max="48" width="14.5" customWidth="1"/>
    <col min="49" max="49" width="16.5" style="4" customWidth="1"/>
    <col min="50" max="50" width="15.625" customWidth="1"/>
    <col min="51" max="51" width="16.375" customWidth="1"/>
    <col min="52" max="52" width="16.375" style="19" customWidth="1"/>
    <col min="53" max="53" width="16.5" style="4" customWidth="1"/>
    <col min="54" max="54" width="13.375" customWidth="1"/>
    <col min="55" max="55" width="21" style="6" customWidth="1"/>
    <col min="56" max="56" width="21" style="19" customWidth="1"/>
    <col min="57" max="57" width="16.5" style="4" customWidth="1"/>
    <col min="58" max="58" width="15.375" customWidth="1"/>
    <col min="59" max="59" width="21" style="6" customWidth="1"/>
    <col min="60" max="60" width="16.5" style="4" customWidth="1"/>
    <col min="61" max="61" width="19.125" customWidth="1"/>
    <col min="62" max="62" width="21" style="6" customWidth="1"/>
    <col min="63" max="63" width="21" style="19" customWidth="1"/>
    <col min="64" max="64" width="16.5" style="4" customWidth="1"/>
    <col min="65" max="65" width="22.875" customWidth="1"/>
    <col min="66" max="66" width="21" style="6" customWidth="1"/>
    <col min="67" max="67" width="21" style="19" customWidth="1"/>
    <col min="68" max="68" width="16.5" style="4" customWidth="1"/>
    <col min="69" max="69" width="13.125" customWidth="1"/>
    <col min="70" max="70" width="21" style="6" customWidth="1"/>
    <col min="71" max="71" width="21" style="19" customWidth="1"/>
    <col min="72" max="72" width="16.5" style="4" customWidth="1"/>
    <col min="73" max="73" width="16.125" customWidth="1"/>
    <col min="74" max="74" width="21" style="6" customWidth="1"/>
    <col min="75" max="75" width="21" style="19" customWidth="1"/>
    <col min="76" max="76" width="19.5" style="4" customWidth="1"/>
    <col min="77" max="77" width="20.625" customWidth="1"/>
    <col min="78" max="78" width="20.625" style="19" customWidth="1"/>
    <col min="79" max="79" width="21" style="6" customWidth="1"/>
    <col min="80" max="80" width="19.875" style="4" customWidth="1"/>
    <col min="81" max="81" width="21.5" customWidth="1"/>
    <col min="82" max="82" width="21" style="6" customWidth="1"/>
  </cols>
  <sheetData>
    <row r="1" spans="1:82" s="9" customFormat="1" x14ac:dyDescent="0.25">
      <c r="A1" s="9" t="s">
        <v>0</v>
      </c>
      <c r="B1" s="9" t="s">
        <v>29</v>
      </c>
      <c r="C1" s="9" t="s">
        <v>30</v>
      </c>
      <c r="D1" s="9" t="s">
        <v>82</v>
      </c>
      <c r="E1" s="9" t="s">
        <v>108</v>
      </c>
      <c r="F1" s="9" t="s">
        <v>110</v>
      </c>
      <c r="G1" s="9" t="s">
        <v>112</v>
      </c>
      <c r="H1" s="9" t="s">
        <v>109</v>
      </c>
      <c r="I1" s="9" t="s">
        <v>120</v>
      </c>
      <c r="J1" s="9" t="s">
        <v>114</v>
      </c>
      <c r="K1" s="9" t="s">
        <v>115</v>
      </c>
      <c r="L1" s="9" t="s">
        <v>116</v>
      </c>
      <c r="M1" s="9" t="s">
        <v>117</v>
      </c>
      <c r="N1" s="9" t="s">
        <v>118</v>
      </c>
      <c r="O1" s="9" t="s">
        <v>119</v>
      </c>
      <c r="P1" s="9" t="s">
        <v>121</v>
      </c>
      <c r="Q1" s="9" t="s">
        <v>122</v>
      </c>
      <c r="R1" s="9" t="s">
        <v>123</v>
      </c>
      <c r="S1" s="9" t="s">
        <v>124</v>
      </c>
      <c r="T1" s="10" t="s">
        <v>31</v>
      </c>
      <c r="U1" s="13" t="s">
        <v>32</v>
      </c>
      <c r="V1" s="12" t="s">
        <v>33</v>
      </c>
      <c r="W1" s="10" t="s">
        <v>34</v>
      </c>
      <c r="X1" s="13" t="s">
        <v>35</v>
      </c>
      <c r="Y1" s="12" t="s">
        <v>36</v>
      </c>
      <c r="Z1" s="18" t="s">
        <v>113</v>
      </c>
      <c r="AA1" s="10" t="s">
        <v>37</v>
      </c>
      <c r="AB1" s="13" t="s">
        <v>38</v>
      </c>
      <c r="AC1" s="12" t="s">
        <v>39</v>
      </c>
      <c r="AD1" s="18" t="s">
        <v>113</v>
      </c>
      <c r="AE1" s="10" t="s">
        <v>40</v>
      </c>
      <c r="AF1" s="13" t="s">
        <v>41</v>
      </c>
      <c r="AG1" s="12" t="s">
        <v>42</v>
      </c>
      <c r="AH1" s="10" t="s">
        <v>43</v>
      </c>
      <c r="AI1" s="13" t="s">
        <v>44</v>
      </c>
      <c r="AJ1" s="12" t="s">
        <v>45</v>
      </c>
      <c r="AK1" s="18" t="s">
        <v>113</v>
      </c>
      <c r="AL1" s="10" t="s">
        <v>46</v>
      </c>
      <c r="AM1" s="13" t="s">
        <v>47</v>
      </c>
      <c r="AN1" s="12" t="s">
        <v>48</v>
      </c>
      <c r="AO1" s="18" t="s">
        <v>113</v>
      </c>
      <c r="AP1" s="10" t="s">
        <v>49</v>
      </c>
      <c r="AQ1" s="13" t="s">
        <v>50</v>
      </c>
      <c r="AR1" s="12" t="s">
        <v>51</v>
      </c>
      <c r="AS1" s="18" t="s">
        <v>113</v>
      </c>
      <c r="AT1" s="10" t="s">
        <v>52</v>
      </c>
      <c r="AU1" s="13" t="s">
        <v>53</v>
      </c>
      <c r="AV1" s="12" t="s">
        <v>54</v>
      </c>
      <c r="AW1" s="10" t="s">
        <v>55</v>
      </c>
      <c r="AX1" s="13" t="s">
        <v>56</v>
      </c>
      <c r="AY1" s="12" t="s">
        <v>57</v>
      </c>
      <c r="AZ1" s="18" t="s">
        <v>113</v>
      </c>
      <c r="BA1" s="10" t="s">
        <v>58</v>
      </c>
      <c r="BB1" s="13" t="s">
        <v>59</v>
      </c>
      <c r="BC1" s="12" t="s">
        <v>60</v>
      </c>
      <c r="BD1" s="18" t="s">
        <v>113</v>
      </c>
      <c r="BE1" s="10" t="s">
        <v>61</v>
      </c>
      <c r="BF1" s="13" t="s">
        <v>62</v>
      </c>
      <c r="BG1" s="12" t="s">
        <v>63</v>
      </c>
      <c r="BH1" s="10" t="s">
        <v>64</v>
      </c>
      <c r="BI1" s="13" t="s">
        <v>65</v>
      </c>
      <c r="BJ1" s="12" t="s">
        <v>66</v>
      </c>
      <c r="BK1" s="18" t="s">
        <v>113</v>
      </c>
      <c r="BL1" s="10" t="s">
        <v>67</v>
      </c>
      <c r="BM1" s="13" t="s">
        <v>68</v>
      </c>
      <c r="BN1" s="12" t="s">
        <v>69</v>
      </c>
      <c r="BO1" s="18" t="s">
        <v>113</v>
      </c>
      <c r="BP1" s="10" t="s">
        <v>70</v>
      </c>
      <c r="BQ1" s="13" t="s">
        <v>71</v>
      </c>
      <c r="BR1" s="12" t="s">
        <v>72</v>
      </c>
      <c r="BS1" s="18" t="s">
        <v>113</v>
      </c>
      <c r="BT1" s="10" t="s">
        <v>73</v>
      </c>
      <c r="BU1" s="13" t="s">
        <v>74</v>
      </c>
      <c r="BV1" s="12" t="s">
        <v>75</v>
      </c>
      <c r="BW1" s="18" t="s">
        <v>113</v>
      </c>
      <c r="BX1" s="10" t="s">
        <v>76</v>
      </c>
      <c r="BY1" s="13" t="s">
        <v>77</v>
      </c>
      <c r="BZ1" s="18" t="s">
        <v>129</v>
      </c>
      <c r="CA1" s="12" t="s">
        <v>78</v>
      </c>
      <c r="CB1" s="10" t="s">
        <v>79</v>
      </c>
      <c r="CC1" s="13" t="s">
        <v>80</v>
      </c>
      <c r="CD1" s="12" t="s">
        <v>81</v>
      </c>
    </row>
    <row r="2" spans="1:82" x14ac:dyDescent="0.25">
      <c r="A2" s="14" t="s">
        <v>98</v>
      </c>
      <c r="B2">
        <v>1493</v>
      </c>
      <c r="C2" s="3">
        <v>1</v>
      </c>
      <c r="D2">
        <v>2</v>
      </c>
      <c r="E2">
        <v>2</v>
      </c>
      <c r="F2">
        <v>1</v>
      </c>
      <c r="G2">
        <v>1</v>
      </c>
      <c r="H2">
        <v>224</v>
      </c>
      <c r="I2">
        <v>1</v>
      </c>
      <c r="J2">
        <v>21</v>
      </c>
      <c r="K2">
        <v>1</v>
      </c>
      <c r="L2">
        <v>24.93</v>
      </c>
      <c r="O2" t="s">
        <v>126</v>
      </c>
      <c r="P2">
        <v>43</v>
      </c>
      <c r="Q2">
        <v>2</v>
      </c>
      <c r="R2">
        <v>11</v>
      </c>
      <c r="S2">
        <v>29.55</v>
      </c>
      <c r="T2" s="15">
        <f t="shared" ref="T2:T21" si="0">(0.7335*W2) + 0.0814</f>
        <v>0.16942000000000002</v>
      </c>
      <c r="U2" s="16">
        <f t="shared" ref="U2:U21" si="1">(0.7335*X2) + 0.0814</f>
        <v>0.14008000000000001</v>
      </c>
      <c r="V2" s="17">
        <f t="shared" ref="V2:V21" si="2">(0.7335*Y2) + 0.0814</f>
        <v>0.16942000000000002</v>
      </c>
      <c r="W2" s="4">
        <v>0.12</v>
      </c>
      <c r="X2" s="5">
        <v>0.08</v>
      </c>
      <c r="Y2" s="6">
        <v>0.12</v>
      </c>
      <c r="Z2" s="19">
        <f t="shared" ref="Z2:Z26" si="3">Y2-W2</f>
        <v>0</v>
      </c>
      <c r="AA2" s="4">
        <v>4.5</v>
      </c>
      <c r="AB2" s="5">
        <v>8.6</v>
      </c>
      <c r="AC2" s="6">
        <v>14.5</v>
      </c>
      <c r="AD2" s="19">
        <f t="shared" ref="AD2:AD26" si="4">AC2-AA2</f>
        <v>10</v>
      </c>
      <c r="AE2" s="4">
        <v>37</v>
      </c>
      <c r="AF2" s="5">
        <v>37</v>
      </c>
      <c r="AG2" s="6">
        <v>35</v>
      </c>
      <c r="AH2" s="4">
        <v>154</v>
      </c>
      <c r="AI2" s="5">
        <v>149</v>
      </c>
      <c r="AJ2" s="6">
        <v>151</v>
      </c>
      <c r="AK2" s="19">
        <f t="shared" ref="AK2:AK12" si="5">AJ2-AH2</f>
        <v>-3</v>
      </c>
      <c r="AL2" s="4">
        <v>10</v>
      </c>
      <c r="AM2" s="5">
        <v>28</v>
      </c>
      <c r="AN2" s="6">
        <v>61</v>
      </c>
      <c r="AO2" s="19">
        <f t="shared" ref="AO2:AO12" si="6">AN2-AL2</f>
        <v>51</v>
      </c>
      <c r="AP2" s="4">
        <v>201</v>
      </c>
      <c r="AQ2" s="5">
        <v>268</v>
      </c>
      <c r="AR2" s="6">
        <v>342</v>
      </c>
      <c r="AS2" s="19">
        <f t="shared" ref="AS2:AS12" si="7">AR2-AP2</f>
        <v>141</v>
      </c>
      <c r="AU2" s="5">
        <v>430</v>
      </c>
      <c r="AV2" s="6">
        <v>359</v>
      </c>
      <c r="AW2" s="4">
        <v>5</v>
      </c>
      <c r="AX2" s="5">
        <v>105</v>
      </c>
      <c r="AY2" s="6">
        <v>71</v>
      </c>
      <c r="AZ2" s="19">
        <f t="shared" ref="AZ2:AZ12" si="8">AY2-AW2</f>
        <v>66</v>
      </c>
      <c r="BA2" s="4">
        <v>4</v>
      </c>
      <c r="BB2" s="5">
        <v>14</v>
      </c>
      <c r="BC2" s="6">
        <v>118</v>
      </c>
      <c r="BD2" s="19">
        <f t="shared" ref="BD2:BD12" si="9">BC2-BA2</f>
        <v>114</v>
      </c>
      <c r="BE2" s="4">
        <v>4</v>
      </c>
      <c r="BF2" s="5">
        <v>4</v>
      </c>
      <c r="BG2" s="6">
        <v>4</v>
      </c>
      <c r="BH2" s="4">
        <v>1.22</v>
      </c>
      <c r="BI2" s="5">
        <v>1.07</v>
      </c>
      <c r="BJ2" s="6">
        <v>1.1299999999999999</v>
      </c>
      <c r="BK2" s="19">
        <f t="shared" ref="BK2:BK12" si="10">BJ2-BH2</f>
        <v>-9.000000000000008E-2</v>
      </c>
      <c r="BL2" s="4">
        <v>5.62</v>
      </c>
      <c r="BM2" s="5">
        <v>7.05</v>
      </c>
      <c r="BN2" s="6">
        <v>7.58</v>
      </c>
      <c r="BO2" s="19">
        <f t="shared" ref="BO2:BO12" si="11">BN2-BL2</f>
        <v>1.96</v>
      </c>
      <c r="BQ2" s="5">
        <v>1995</v>
      </c>
      <c r="BR2" s="6">
        <v>2547</v>
      </c>
      <c r="BU2" s="5">
        <v>23.3</v>
      </c>
      <c r="BV2" s="6">
        <v>54</v>
      </c>
      <c r="BX2" s="4">
        <v>12.9</v>
      </c>
      <c r="BY2" s="5">
        <v>0.3</v>
      </c>
      <c r="BZ2" s="19">
        <f>BY2-BX2</f>
        <v>-12.6</v>
      </c>
      <c r="CA2" s="6">
        <v>0.2</v>
      </c>
      <c r="CB2" s="4">
        <v>26</v>
      </c>
      <c r="CC2" s="5">
        <v>19.600000000000001</v>
      </c>
      <c r="CD2" s="6">
        <v>3.5</v>
      </c>
    </row>
    <row r="3" spans="1:82" x14ac:dyDescent="0.25">
      <c r="A3" s="14" t="s">
        <v>88</v>
      </c>
      <c r="B3">
        <v>1005</v>
      </c>
      <c r="C3" s="3">
        <v>1</v>
      </c>
      <c r="D3">
        <v>2</v>
      </c>
      <c r="E3">
        <v>5</v>
      </c>
      <c r="F3">
        <v>1</v>
      </c>
      <c r="G3">
        <v>1</v>
      </c>
      <c r="H3">
        <v>358</v>
      </c>
      <c r="I3">
        <v>1</v>
      </c>
      <c r="J3">
        <v>29</v>
      </c>
      <c r="K3">
        <v>1</v>
      </c>
      <c r="L3">
        <v>22.34</v>
      </c>
      <c r="M3">
        <v>1.06</v>
      </c>
      <c r="N3">
        <v>1.1299999999999999</v>
      </c>
      <c r="O3" t="s">
        <v>125</v>
      </c>
      <c r="P3">
        <v>53</v>
      </c>
      <c r="Q3">
        <v>1</v>
      </c>
      <c r="R3">
        <v>13</v>
      </c>
      <c r="S3">
        <v>27.55</v>
      </c>
      <c r="T3" s="15">
        <f t="shared" si="0"/>
        <v>0.132745</v>
      </c>
      <c r="U3" s="16">
        <f t="shared" si="1"/>
        <v>0.11807500000000001</v>
      </c>
      <c r="V3" s="17">
        <f t="shared" si="2"/>
        <v>0.14008000000000001</v>
      </c>
      <c r="W3" s="4">
        <v>7.0000000000000007E-2</v>
      </c>
      <c r="X3" s="5">
        <v>0.05</v>
      </c>
      <c r="Y3" s="6">
        <v>0.08</v>
      </c>
      <c r="Z3" s="19">
        <f t="shared" si="3"/>
        <v>9.999999999999995E-3</v>
      </c>
      <c r="AA3" s="4">
        <v>3.8</v>
      </c>
      <c r="AB3" s="5">
        <v>5.5</v>
      </c>
      <c r="AC3" s="6">
        <v>12.4</v>
      </c>
      <c r="AD3" s="19">
        <f t="shared" si="4"/>
        <v>8.6000000000000014</v>
      </c>
      <c r="AE3" s="4">
        <v>28</v>
      </c>
      <c r="AF3" s="5">
        <v>29</v>
      </c>
      <c r="AG3" s="6">
        <v>29</v>
      </c>
      <c r="AH3" s="4">
        <v>150</v>
      </c>
      <c r="AI3" s="5">
        <v>144</v>
      </c>
      <c r="AJ3" s="6">
        <v>146</v>
      </c>
      <c r="AK3" s="19">
        <f t="shared" si="5"/>
        <v>-4</v>
      </c>
      <c r="AL3" s="4">
        <v>2</v>
      </c>
      <c r="AM3" s="5">
        <v>2</v>
      </c>
      <c r="AN3" s="6">
        <v>2</v>
      </c>
      <c r="AO3" s="19">
        <f t="shared" si="6"/>
        <v>0</v>
      </c>
      <c r="AP3" s="4">
        <v>868</v>
      </c>
      <c r="AQ3" s="5">
        <v>912</v>
      </c>
      <c r="AR3" s="6">
        <v>1130</v>
      </c>
      <c r="AS3" s="19">
        <f t="shared" si="7"/>
        <v>262</v>
      </c>
      <c r="AU3" s="5"/>
      <c r="AV3" s="6"/>
      <c r="AW3" s="4">
        <v>5</v>
      </c>
      <c r="AX3" s="5">
        <v>5</v>
      </c>
      <c r="AY3" s="6">
        <v>33</v>
      </c>
      <c r="AZ3" s="19">
        <f t="shared" si="8"/>
        <v>28</v>
      </c>
      <c r="BA3" s="4">
        <v>4</v>
      </c>
      <c r="BB3" s="5">
        <v>11</v>
      </c>
      <c r="BC3" s="6">
        <v>61</v>
      </c>
      <c r="BD3" s="19">
        <f t="shared" si="9"/>
        <v>57</v>
      </c>
      <c r="BE3" s="4">
        <v>4</v>
      </c>
      <c r="BF3" s="5">
        <v>4</v>
      </c>
      <c r="BG3" s="6">
        <v>4</v>
      </c>
      <c r="BH3" s="4">
        <v>1.1499999999999999</v>
      </c>
      <c r="BI3" s="5">
        <v>1.1399999999999999</v>
      </c>
      <c r="BJ3" s="6">
        <v>1.1599999999999999</v>
      </c>
      <c r="BK3" s="19">
        <f t="shared" si="10"/>
        <v>1.0000000000000009E-2</v>
      </c>
      <c r="BL3" s="4">
        <v>3.95</v>
      </c>
      <c r="BM3" s="5">
        <v>4.0199999999999996</v>
      </c>
      <c r="BN3" s="6">
        <v>3.77</v>
      </c>
      <c r="BO3" s="19">
        <f t="shared" si="11"/>
        <v>-0.18000000000000016</v>
      </c>
      <c r="BQ3" s="5"/>
      <c r="BU3" s="5"/>
      <c r="BX3" s="4">
        <v>9.4</v>
      </c>
      <c r="BY3" s="5">
        <v>1.9</v>
      </c>
      <c r="BZ3" s="19">
        <f>BY3-BX3</f>
        <v>-7.5</v>
      </c>
      <c r="CC3" s="5"/>
    </row>
    <row r="4" spans="1:82" x14ac:dyDescent="0.25">
      <c r="A4" s="14" t="s">
        <v>101</v>
      </c>
      <c r="B4" s="2">
        <v>1903</v>
      </c>
      <c r="C4" s="3">
        <v>2</v>
      </c>
      <c r="D4">
        <v>1</v>
      </c>
      <c r="E4">
        <v>16</v>
      </c>
      <c r="F4">
        <v>1</v>
      </c>
      <c r="G4">
        <v>1</v>
      </c>
      <c r="H4">
        <v>365</v>
      </c>
      <c r="I4">
        <v>1</v>
      </c>
      <c r="J4">
        <v>64</v>
      </c>
      <c r="K4">
        <v>1</v>
      </c>
      <c r="L4">
        <v>30.67</v>
      </c>
      <c r="M4">
        <v>1.18</v>
      </c>
      <c r="N4">
        <v>1.91</v>
      </c>
      <c r="O4" t="s">
        <v>125</v>
      </c>
      <c r="P4">
        <v>63</v>
      </c>
      <c r="Q4">
        <v>1</v>
      </c>
      <c r="R4">
        <v>7</v>
      </c>
      <c r="S4">
        <v>25.5</v>
      </c>
      <c r="T4" s="15">
        <f t="shared" si="0"/>
        <v>0.31612000000000001</v>
      </c>
      <c r="U4" s="16">
        <f t="shared" si="1"/>
        <v>0.36746500000000004</v>
      </c>
      <c r="V4" s="17">
        <f t="shared" si="2"/>
        <v>0.382135</v>
      </c>
      <c r="W4" s="4">
        <v>0.32</v>
      </c>
      <c r="X4" s="5">
        <v>0.39</v>
      </c>
      <c r="Y4" s="6">
        <v>0.41</v>
      </c>
      <c r="Z4" s="19">
        <f t="shared" si="3"/>
        <v>8.9999999999999969E-2</v>
      </c>
      <c r="AA4" s="4">
        <v>2.4</v>
      </c>
      <c r="AB4" s="5">
        <v>4.5</v>
      </c>
      <c r="AC4" s="6">
        <v>9.5</v>
      </c>
      <c r="AD4" s="19">
        <f t="shared" si="4"/>
        <v>7.1</v>
      </c>
      <c r="AE4" s="4">
        <v>23</v>
      </c>
      <c r="AF4" s="5">
        <v>24</v>
      </c>
      <c r="AG4" s="6">
        <v>23</v>
      </c>
      <c r="AH4" s="4">
        <v>131</v>
      </c>
      <c r="AI4" s="5">
        <v>128</v>
      </c>
      <c r="AJ4" s="6">
        <v>144</v>
      </c>
      <c r="AK4" s="19">
        <f t="shared" si="5"/>
        <v>13</v>
      </c>
      <c r="AL4" s="4">
        <v>2</v>
      </c>
      <c r="AM4" s="5">
        <v>2</v>
      </c>
      <c r="AN4" s="6">
        <v>7</v>
      </c>
      <c r="AO4" s="19">
        <f t="shared" si="6"/>
        <v>5</v>
      </c>
      <c r="AP4" s="4">
        <v>1787</v>
      </c>
      <c r="AQ4" s="5">
        <v>1801</v>
      </c>
      <c r="AR4" s="6">
        <v>1447</v>
      </c>
      <c r="AS4" s="19">
        <f t="shared" si="7"/>
        <v>-340</v>
      </c>
      <c r="AU4" s="5"/>
      <c r="AV4" s="6"/>
      <c r="AW4" s="4">
        <v>7</v>
      </c>
      <c r="AX4" s="5">
        <v>7</v>
      </c>
      <c r="AY4" s="6">
        <v>23</v>
      </c>
      <c r="AZ4" s="19">
        <f t="shared" si="8"/>
        <v>16</v>
      </c>
      <c r="BA4" s="4">
        <v>5</v>
      </c>
      <c r="BB4" s="5">
        <v>4</v>
      </c>
      <c r="BC4" s="6">
        <v>68</v>
      </c>
      <c r="BD4" s="19">
        <f t="shared" si="9"/>
        <v>63</v>
      </c>
      <c r="BE4" s="4">
        <v>4</v>
      </c>
      <c r="BF4" s="5">
        <v>4</v>
      </c>
      <c r="BG4" s="6">
        <v>4</v>
      </c>
      <c r="BH4" s="4">
        <v>1.47</v>
      </c>
      <c r="BI4" s="5">
        <v>1.22</v>
      </c>
      <c r="BJ4" s="6">
        <v>0.99</v>
      </c>
      <c r="BK4" s="19">
        <f t="shared" si="10"/>
        <v>-0.48</v>
      </c>
      <c r="BL4" s="4">
        <v>7.41</v>
      </c>
      <c r="BM4" s="5">
        <v>7.91</v>
      </c>
      <c r="BN4" s="6">
        <v>7.07</v>
      </c>
      <c r="BO4" s="19">
        <f t="shared" si="11"/>
        <v>-0.33999999999999986</v>
      </c>
      <c r="BP4" s="4">
        <v>1995</v>
      </c>
      <c r="BQ4" s="5">
        <v>3325</v>
      </c>
      <c r="BR4" s="6">
        <v>3325</v>
      </c>
      <c r="BS4" s="19">
        <f>BR4-BP4</f>
        <v>1330</v>
      </c>
      <c r="BT4" s="4">
        <v>7.6</v>
      </c>
      <c r="BU4" s="5">
        <v>24.3</v>
      </c>
      <c r="BV4" s="6">
        <v>103.2</v>
      </c>
      <c r="BW4" s="19">
        <f>BV4-BT4</f>
        <v>95.600000000000009</v>
      </c>
      <c r="BY4" s="5"/>
      <c r="CC4" s="5"/>
    </row>
    <row r="5" spans="1:82" x14ac:dyDescent="0.25">
      <c r="A5" s="3" t="s">
        <v>99</v>
      </c>
      <c r="B5">
        <v>1630</v>
      </c>
      <c r="C5" s="3">
        <v>1</v>
      </c>
      <c r="D5">
        <v>2</v>
      </c>
      <c r="E5">
        <v>9</v>
      </c>
      <c r="F5">
        <v>1</v>
      </c>
      <c r="G5">
        <v>1</v>
      </c>
      <c r="H5">
        <v>370</v>
      </c>
      <c r="I5">
        <v>1</v>
      </c>
      <c r="J5">
        <v>62</v>
      </c>
      <c r="K5">
        <v>2</v>
      </c>
      <c r="L5">
        <v>25.59</v>
      </c>
      <c r="M5">
        <v>1.52</v>
      </c>
      <c r="N5">
        <v>1.7</v>
      </c>
      <c r="O5" t="s">
        <v>125</v>
      </c>
      <c r="P5">
        <v>48</v>
      </c>
      <c r="Q5">
        <v>1</v>
      </c>
      <c r="R5">
        <v>20</v>
      </c>
      <c r="S5">
        <v>20.2</v>
      </c>
      <c r="T5" s="15">
        <f t="shared" si="0"/>
        <v>0.22076500000000002</v>
      </c>
      <c r="U5" s="16">
        <f t="shared" si="1"/>
        <v>0.25744</v>
      </c>
      <c r="V5" s="17">
        <f t="shared" si="2"/>
        <v>0.19875999999999999</v>
      </c>
      <c r="W5" s="4">
        <v>0.19</v>
      </c>
      <c r="X5" s="5">
        <v>0.24</v>
      </c>
      <c r="Y5" s="6">
        <v>0.16</v>
      </c>
      <c r="Z5" s="19">
        <f t="shared" si="3"/>
        <v>-0.03</v>
      </c>
      <c r="AA5" s="4">
        <v>1.7</v>
      </c>
      <c r="AB5" s="5">
        <v>2.2000000000000002</v>
      </c>
      <c r="AC5" s="6">
        <v>3.9</v>
      </c>
      <c r="AD5" s="19">
        <f t="shared" si="4"/>
        <v>2.2000000000000002</v>
      </c>
      <c r="AE5" s="4">
        <v>12</v>
      </c>
      <c r="AF5" s="5">
        <v>12</v>
      </c>
      <c r="AG5" s="6">
        <v>12</v>
      </c>
      <c r="AH5" s="4">
        <v>165</v>
      </c>
      <c r="AI5" s="5">
        <v>168</v>
      </c>
      <c r="AJ5" s="6">
        <v>165</v>
      </c>
      <c r="AK5" s="19">
        <f t="shared" si="5"/>
        <v>0</v>
      </c>
      <c r="AL5" s="4">
        <v>2</v>
      </c>
      <c r="AM5" s="5">
        <v>2</v>
      </c>
      <c r="AN5" s="6">
        <v>2</v>
      </c>
      <c r="AO5" s="19">
        <f t="shared" si="6"/>
        <v>0</v>
      </c>
      <c r="AP5" s="4">
        <v>1302</v>
      </c>
      <c r="AQ5" s="5">
        <v>1451</v>
      </c>
      <c r="AR5" s="6">
        <v>1563</v>
      </c>
      <c r="AS5" s="19">
        <f t="shared" si="7"/>
        <v>261</v>
      </c>
      <c r="AT5" s="4">
        <v>1645</v>
      </c>
      <c r="AU5" s="5">
        <v>1782</v>
      </c>
      <c r="AV5" s="6">
        <v>2005</v>
      </c>
      <c r="AW5" s="4">
        <v>6</v>
      </c>
      <c r="AX5" s="5">
        <v>6</v>
      </c>
      <c r="AY5" s="6">
        <v>10</v>
      </c>
      <c r="AZ5" s="19">
        <f t="shared" si="8"/>
        <v>4</v>
      </c>
      <c r="BA5" s="4">
        <v>4</v>
      </c>
      <c r="BB5" s="5">
        <v>4</v>
      </c>
      <c r="BC5" s="6">
        <v>9</v>
      </c>
      <c r="BD5" s="19">
        <f t="shared" si="9"/>
        <v>5</v>
      </c>
      <c r="BE5" s="4">
        <v>4</v>
      </c>
      <c r="BF5" s="5">
        <v>4</v>
      </c>
      <c r="BG5" s="6">
        <v>4</v>
      </c>
      <c r="BH5" s="4">
        <v>1.1599999999999999</v>
      </c>
      <c r="BI5" s="5">
        <v>1.1499999999999999</v>
      </c>
      <c r="BJ5" s="6">
        <v>0.9</v>
      </c>
      <c r="BK5" s="19">
        <f t="shared" si="10"/>
        <v>-0.2599999999999999</v>
      </c>
      <c r="BL5" s="4">
        <v>5.44</v>
      </c>
      <c r="BM5" s="5">
        <v>5.84</v>
      </c>
      <c r="BN5" s="6">
        <v>3.96</v>
      </c>
      <c r="BO5" s="19">
        <f t="shared" si="11"/>
        <v>-1.4800000000000004</v>
      </c>
      <c r="BP5" s="4">
        <v>3031</v>
      </c>
      <c r="BQ5" s="5">
        <v>1995</v>
      </c>
      <c r="BR5" s="6">
        <v>1995</v>
      </c>
      <c r="BS5" s="19">
        <f>BR5-BP5</f>
        <v>-1036</v>
      </c>
      <c r="BT5" s="4">
        <v>6</v>
      </c>
      <c r="BU5" s="5">
        <v>14.1</v>
      </c>
      <c r="BV5" s="6">
        <v>54.4</v>
      </c>
      <c r="BW5" s="19">
        <f>BV5-BT5</f>
        <v>48.4</v>
      </c>
      <c r="BY5" s="5"/>
      <c r="CA5" s="6">
        <v>0.7</v>
      </c>
      <c r="CB5" s="4">
        <v>27.6</v>
      </c>
      <c r="CC5" s="5">
        <v>25.9</v>
      </c>
      <c r="CD5" s="6">
        <v>8.1</v>
      </c>
    </row>
    <row r="6" spans="1:82" x14ac:dyDescent="0.25">
      <c r="A6" s="14" t="s">
        <v>100</v>
      </c>
      <c r="B6">
        <v>1759</v>
      </c>
      <c r="C6" s="3">
        <v>2</v>
      </c>
      <c r="D6">
        <v>1</v>
      </c>
      <c r="E6">
        <v>8</v>
      </c>
      <c r="F6">
        <v>1</v>
      </c>
      <c r="G6">
        <v>1</v>
      </c>
      <c r="H6">
        <v>375</v>
      </c>
      <c r="I6">
        <v>2</v>
      </c>
      <c r="J6">
        <v>38</v>
      </c>
      <c r="K6">
        <v>1</v>
      </c>
      <c r="L6">
        <v>29.54</v>
      </c>
      <c r="N6">
        <v>1.97</v>
      </c>
      <c r="O6" t="s">
        <v>125</v>
      </c>
      <c r="P6">
        <v>59</v>
      </c>
      <c r="Q6">
        <v>1</v>
      </c>
      <c r="R6">
        <v>10</v>
      </c>
      <c r="S6">
        <v>33.31</v>
      </c>
      <c r="T6" s="15">
        <f t="shared" si="0"/>
        <v>0.22076500000000002</v>
      </c>
      <c r="U6" s="16">
        <f t="shared" si="1"/>
        <v>8.14E-2</v>
      </c>
      <c r="V6" s="17">
        <f t="shared" si="2"/>
        <v>0.30878499999999998</v>
      </c>
      <c r="W6" s="4">
        <v>0.19</v>
      </c>
      <c r="Y6" s="6">
        <v>0.31</v>
      </c>
      <c r="Z6" s="19">
        <f t="shared" si="3"/>
        <v>0.12</v>
      </c>
      <c r="AA6" s="4">
        <v>4.2</v>
      </c>
      <c r="AC6" s="6">
        <v>22.7</v>
      </c>
      <c r="AD6" s="19">
        <f t="shared" si="4"/>
        <v>18.5</v>
      </c>
      <c r="AE6" s="4">
        <v>32</v>
      </c>
      <c r="AF6" s="5"/>
      <c r="AG6" s="6">
        <v>39</v>
      </c>
      <c r="AH6" s="4">
        <v>150</v>
      </c>
      <c r="AI6" s="5"/>
      <c r="AJ6" s="6">
        <v>157</v>
      </c>
      <c r="AK6" s="19">
        <f t="shared" si="5"/>
        <v>7</v>
      </c>
      <c r="AL6" s="4">
        <v>2</v>
      </c>
      <c r="AM6" s="5"/>
      <c r="AN6" s="6">
        <v>5</v>
      </c>
      <c r="AO6" s="19">
        <f t="shared" si="6"/>
        <v>3</v>
      </c>
      <c r="AQ6" s="5"/>
      <c r="AR6" s="6">
        <v>16772</v>
      </c>
      <c r="AS6" s="19">
        <f t="shared" si="7"/>
        <v>16772</v>
      </c>
      <c r="AU6" s="5"/>
      <c r="AV6" s="6">
        <v>21010</v>
      </c>
      <c r="AW6" s="4">
        <v>32</v>
      </c>
      <c r="AX6" s="5"/>
      <c r="AY6" s="6">
        <v>90</v>
      </c>
      <c r="AZ6" s="19">
        <f t="shared" si="8"/>
        <v>58</v>
      </c>
      <c r="BA6" s="4">
        <v>39</v>
      </c>
      <c r="BB6" s="5"/>
      <c r="BC6" s="6">
        <v>208</v>
      </c>
      <c r="BD6" s="19">
        <f t="shared" si="9"/>
        <v>169</v>
      </c>
      <c r="BE6" s="4">
        <v>4</v>
      </c>
      <c r="BF6" s="5"/>
      <c r="BG6" s="6">
        <v>4</v>
      </c>
      <c r="BH6" s="4">
        <v>0.93</v>
      </c>
      <c r="BI6" s="5"/>
      <c r="BJ6" s="6">
        <v>0.69</v>
      </c>
      <c r="BK6" s="19">
        <f t="shared" si="10"/>
        <v>-0.2400000000000001</v>
      </c>
      <c r="BL6" s="4">
        <v>7.19</v>
      </c>
      <c r="BM6" s="5"/>
      <c r="BN6" s="6">
        <v>8.17</v>
      </c>
      <c r="BO6" s="19">
        <f t="shared" si="11"/>
        <v>0.97999999999999954</v>
      </c>
      <c r="BQ6" s="5"/>
      <c r="BU6" s="5"/>
      <c r="BV6" s="6">
        <v>86.1</v>
      </c>
      <c r="BX6" s="4">
        <v>13.4</v>
      </c>
      <c r="BY6" s="5">
        <v>3.2</v>
      </c>
      <c r="BZ6" s="19">
        <f>BY6-BX6</f>
        <v>-10.199999999999999</v>
      </c>
      <c r="CC6" s="5"/>
    </row>
    <row r="7" spans="1:82" x14ac:dyDescent="0.25">
      <c r="A7" s="14" t="s">
        <v>103</v>
      </c>
      <c r="B7">
        <v>2668</v>
      </c>
      <c r="C7" s="3">
        <v>1</v>
      </c>
      <c r="D7">
        <v>2</v>
      </c>
      <c r="E7">
        <v>16</v>
      </c>
      <c r="F7">
        <v>1</v>
      </c>
      <c r="G7">
        <v>1</v>
      </c>
      <c r="H7">
        <v>382</v>
      </c>
      <c r="I7">
        <v>1</v>
      </c>
      <c r="J7">
        <v>52</v>
      </c>
      <c r="K7">
        <v>1</v>
      </c>
      <c r="L7">
        <v>24.93</v>
      </c>
      <c r="N7">
        <v>1.87</v>
      </c>
      <c r="O7" t="s">
        <v>128</v>
      </c>
      <c r="P7">
        <v>65</v>
      </c>
      <c r="Q7">
        <v>1</v>
      </c>
      <c r="R7">
        <v>9</v>
      </c>
      <c r="S7">
        <v>31.71</v>
      </c>
      <c r="T7" s="15">
        <f t="shared" si="0"/>
        <v>0.22076500000000002</v>
      </c>
      <c r="U7" s="16">
        <f t="shared" si="1"/>
        <v>0.25010500000000002</v>
      </c>
      <c r="V7" s="17">
        <f t="shared" si="2"/>
        <v>0.24277000000000001</v>
      </c>
      <c r="W7" s="4">
        <v>0.19</v>
      </c>
      <c r="X7" s="5">
        <v>0.23</v>
      </c>
      <c r="Y7" s="6">
        <v>0.22</v>
      </c>
      <c r="Z7" s="19">
        <f t="shared" si="3"/>
        <v>0.03</v>
      </c>
      <c r="AA7" s="4">
        <v>2.7</v>
      </c>
      <c r="AB7" s="5">
        <v>3.4</v>
      </c>
      <c r="AC7" s="6">
        <v>9.4</v>
      </c>
      <c r="AD7" s="19">
        <f t="shared" si="4"/>
        <v>6.7</v>
      </c>
      <c r="AE7" s="4">
        <v>26</v>
      </c>
      <c r="AF7" s="5">
        <v>25</v>
      </c>
      <c r="AG7" s="6">
        <v>28</v>
      </c>
      <c r="AH7" s="4">
        <v>141</v>
      </c>
      <c r="AI7" s="5">
        <v>138</v>
      </c>
      <c r="AJ7" s="6">
        <v>139</v>
      </c>
      <c r="AK7" s="19">
        <f t="shared" si="5"/>
        <v>-2</v>
      </c>
      <c r="AL7" s="4">
        <v>2</v>
      </c>
      <c r="AM7" s="5">
        <v>2</v>
      </c>
      <c r="AN7" s="6">
        <v>2</v>
      </c>
      <c r="AO7" s="19">
        <f t="shared" si="6"/>
        <v>0</v>
      </c>
      <c r="AP7" s="4">
        <v>841</v>
      </c>
      <c r="AQ7" s="5">
        <v>863</v>
      </c>
      <c r="AR7" s="6">
        <v>1101</v>
      </c>
      <c r="AS7" s="19">
        <f t="shared" si="7"/>
        <v>260</v>
      </c>
      <c r="AU7" s="5"/>
      <c r="AV7" s="6"/>
      <c r="AW7" s="4">
        <v>9</v>
      </c>
      <c r="AX7" s="5">
        <v>9</v>
      </c>
      <c r="AY7" s="6">
        <v>15</v>
      </c>
      <c r="AZ7" s="19">
        <f t="shared" si="8"/>
        <v>6</v>
      </c>
      <c r="BA7" s="4">
        <v>14</v>
      </c>
      <c r="BB7" s="5">
        <v>22</v>
      </c>
      <c r="BC7" s="6">
        <v>90</v>
      </c>
      <c r="BD7" s="19">
        <f t="shared" si="9"/>
        <v>76</v>
      </c>
      <c r="BE7" s="4">
        <v>4</v>
      </c>
      <c r="BF7" s="5">
        <v>4</v>
      </c>
      <c r="BG7" s="6">
        <v>4</v>
      </c>
      <c r="BH7" s="4">
        <v>1.38</v>
      </c>
      <c r="BI7" s="5">
        <v>1.22</v>
      </c>
      <c r="BJ7" s="6">
        <v>1.1299999999999999</v>
      </c>
      <c r="BK7" s="19">
        <f t="shared" si="10"/>
        <v>-0.25</v>
      </c>
      <c r="BL7" s="4">
        <v>5.16</v>
      </c>
      <c r="BM7" s="5">
        <v>6.11</v>
      </c>
      <c r="BN7" s="6">
        <v>5.67</v>
      </c>
      <c r="BO7" s="19">
        <f t="shared" si="11"/>
        <v>0.50999999999999979</v>
      </c>
      <c r="BP7" s="4">
        <v>3325</v>
      </c>
      <c r="BQ7" s="5"/>
      <c r="BT7" s="4">
        <v>12.9</v>
      </c>
      <c r="BU7" s="5"/>
      <c r="BY7" s="5"/>
      <c r="CA7" s="6">
        <v>1</v>
      </c>
      <c r="CB7" s="4">
        <v>23.2</v>
      </c>
      <c r="CC7" s="5">
        <v>24.3</v>
      </c>
      <c r="CD7" s="6">
        <v>8.1</v>
      </c>
    </row>
    <row r="8" spans="1:82" x14ac:dyDescent="0.25">
      <c r="A8" s="14" t="s">
        <v>95</v>
      </c>
      <c r="B8">
        <v>1355</v>
      </c>
      <c r="C8" s="3">
        <v>2</v>
      </c>
      <c r="D8">
        <v>2</v>
      </c>
      <c r="E8">
        <v>2</v>
      </c>
      <c r="F8">
        <v>1</v>
      </c>
      <c r="G8">
        <v>1</v>
      </c>
      <c r="H8">
        <v>483</v>
      </c>
      <c r="I8">
        <v>2</v>
      </c>
      <c r="J8">
        <v>48</v>
      </c>
      <c r="K8">
        <v>1</v>
      </c>
      <c r="L8">
        <v>25.95</v>
      </c>
      <c r="M8">
        <v>3.02</v>
      </c>
      <c r="N8">
        <v>1.7</v>
      </c>
      <c r="O8" t="s">
        <v>128</v>
      </c>
      <c r="P8">
        <v>23</v>
      </c>
      <c r="Q8">
        <v>1</v>
      </c>
      <c r="R8">
        <v>19</v>
      </c>
      <c r="S8">
        <v>19.170000000000002</v>
      </c>
      <c r="T8" s="15">
        <f t="shared" si="0"/>
        <v>0.33812500000000001</v>
      </c>
      <c r="U8" s="16">
        <f t="shared" si="1"/>
        <v>0.32345500000000005</v>
      </c>
      <c r="V8" s="17">
        <f t="shared" si="2"/>
        <v>0.25010500000000002</v>
      </c>
      <c r="W8" s="4">
        <v>0.35</v>
      </c>
      <c r="X8" s="5">
        <v>0.33</v>
      </c>
      <c r="Y8" s="6">
        <v>0.23</v>
      </c>
      <c r="Z8" s="19">
        <f t="shared" si="3"/>
        <v>-0.11999999999999997</v>
      </c>
      <c r="AA8" s="4">
        <v>5.5</v>
      </c>
      <c r="AB8" s="5">
        <v>5.3</v>
      </c>
      <c r="AC8" s="6">
        <v>14.4</v>
      </c>
      <c r="AD8" s="19">
        <f t="shared" si="4"/>
        <v>8.9</v>
      </c>
      <c r="AE8" s="4">
        <v>33</v>
      </c>
      <c r="AF8" s="5">
        <v>33</v>
      </c>
      <c r="AG8" s="6">
        <v>37</v>
      </c>
      <c r="AH8" s="4">
        <v>148</v>
      </c>
      <c r="AI8" s="5">
        <v>155</v>
      </c>
      <c r="AJ8" s="6">
        <v>155</v>
      </c>
      <c r="AK8" s="19">
        <f t="shared" si="5"/>
        <v>7</v>
      </c>
      <c r="AL8" s="4">
        <v>2</v>
      </c>
      <c r="AM8" s="5">
        <v>2</v>
      </c>
      <c r="AN8" s="6">
        <v>2</v>
      </c>
      <c r="AO8" s="19">
        <f t="shared" si="6"/>
        <v>0</v>
      </c>
      <c r="AP8" s="4">
        <v>2681</v>
      </c>
      <c r="AQ8" s="5">
        <v>2753</v>
      </c>
      <c r="AR8" s="6">
        <v>4113</v>
      </c>
      <c r="AS8" s="19">
        <f t="shared" si="7"/>
        <v>1432</v>
      </c>
      <c r="AU8" s="5"/>
      <c r="AV8" s="6"/>
      <c r="AW8" s="4">
        <v>12</v>
      </c>
      <c r="AX8" s="5">
        <v>13</v>
      </c>
      <c r="AY8" s="6">
        <v>24</v>
      </c>
      <c r="AZ8" s="19">
        <f t="shared" si="8"/>
        <v>12</v>
      </c>
      <c r="BA8" s="4">
        <v>12</v>
      </c>
      <c r="BB8" s="5">
        <v>12</v>
      </c>
      <c r="BC8" s="6">
        <v>30</v>
      </c>
      <c r="BD8" s="19">
        <f t="shared" si="9"/>
        <v>18</v>
      </c>
      <c r="BE8" s="4">
        <v>4</v>
      </c>
      <c r="BF8" s="5">
        <v>4</v>
      </c>
      <c r="BG8" s="6">
        <v>4</v>
      </c>
      <c r="BH8" s="4">
        <v>0.89</v>
      </c>
      <c r="BI8" s="5">
        <v>0.85</v>
      </c>
      <c r="BJ8" s="6">
        <v>0.98</v>
      </c>
      <c r="BK8" s="19">
        <f t="shared" si="10"/>
        <v>8.9999999999999969E-2</v>
      </c>
      <c r="BL8" s="4">
        <v>7.08</v>
      </c>
      <c r="BM8" s="5">
        <v>7.35</v>
      </c>
      <c r="BN8" s="6">
        <v>6.74</v>
      </c>
      <c r="BO8" s="19">
        <f t="shared" si="11"/>
        <v>-0.33999999999999986</v>
      </c>
      <c r="BQ8" s="5"/>
      <c r="BU8" s="5"/>
      <c r="BX8" s="4">
        <v>12.7</v>
      </c>
      <c r="BY8" s="5">
        <v>12.5</v>
      </c>
      <c r="BZ8" s="19">
        <f>BY8-BX8</f>
        <v>-0.19999999999999929</v>
      </c>
      <c r="CA8" s="6">
        <v>5</v>
      </c>
      <c r="CB8" s="4">
        <v>22.6</v>
      </c>
      <c r="CC8" s="5">
        <v>22.5</v>
      </c>
      <c r="CD8" s="6">
        <v>7.2</v>
      </c>
    </row>
    <row r="9" spans="1:82" x14ac:dyDescent="0.25">
      <c r="A9" s="14" t="s">
        <v>93</v>
      </c>
      <c r="B9" s="2">
        <v>1258</v>
      </c>
      <c r="C9" s="3">
        <v>2</v>
      </c>
      <c r="D9">
        <v>2</v>
      </c>
      <c r="E9">
        <v>2</v>
      </c>
      <c r="F9">
        <v>1</v>
      </c>
      <c r="G9">
        <v>1</v>
      </c>
      <c r="H9">
        <v>516</v>
      </c>
      <c r="I9">
        <v>1</v>
      </c>
      <c r="J9">
        <v>76</v>
      </c>
      <c r="K9">
        <v>2</v>
      </c>
      <c r="L9">
        <v>26.57</v>
      </c>
      <c r="M9">
        <v>1.22</v>
      </c>
      <c r="N9">
        <v>1.84</v>
      </c>
      <c r="O9" t="s">
        <v>125</v>
      </c>
      <c r="P9">
        <v>64</v>
      </c>
      <c r="Q9">
        <v>2</v>
      </c>
      <c r="R9">
        <v>7</v>
      </c>
      <c r="S9">
        <v>21.79</v>
      </c>
      <c r="T9" s="15">
        <f t="shared" si="0"/>
        <v>0.16942000000000002</v>
      </c>
      <c r="U9" s="16">
        <f t="shared" si="1"/>
        <v>0.16942000000000002</v>
      </c>
      <c r="V9" s="17">
        <f t="shared" si="2"/>
        <v>0.91025500000000004</v>
      </c>
      <c r="W9" s="4">
        <v>0.12</v>
      </c>
      <c r="X9" s="5">
        <v>0.12</v>
      </c>
      <c r="Y9" s="6">
        <v>1.1299999999999999</v>
      </c>
      <c r="Z9" s="19">
        <f t="shared" si="3"/>
        <v>1.0099999999999998</v>
      </c>
      <c r="AA9" s="4">
        <v>2</v>
      </c>
      <c r="AB9" s="5">
        <v>3.8</v>
      </c>
      <c r="AC9" s="6">
        <v>14</v>
      </c>
      <c r="AD9" s="19">
        <f t="shared" si="4"/>
        <v>12</v>
      </c>
      <c r="AE9" s="4">
        <v>13</v>
      </c>
      <c r="AF9" s="5">
        <v>15</v>
      </c>
      <c r="AG9" s="6">
        <v>17</v>
      </c>
      <c r="AH9" s="4">
        <v>148</v>
      </c>
      <c r="AI9" s="5">
        <v>147</v>
      </c>
      <c r="AJ9" s="6">
        <v>148</v>
      </c>
      <c r="AK9" s="19">
        <f t="shared" si="5"/>
        <v>0</v>
      </c>
      <c r="AL9" s="4">
        <v>2</v>
      </c>
      <c r="AM9" s="5">
        <v>2</v>
      </c>
      <c r="AN9" s="6">
        <v>31</v>
      </c>
      <c r="AO9" s="19">
        <f t="shared" si="6"/>
        <v>29</v>
      </c>
      <c r="AP9" s="4">
        <v>92</v>
      </c>
      <c r="AQ9" s="5">
        <v>124</v>
      </c>
      <c r="AR9" s="6">
        <v>266</v>
      </c>
      <c r="AS9" s="19">
        <f t="shared" si="7"/>
        <v>174</v>
      </c>
      <c r="AU9" s="5"/>
      <c r="AV9" s="6">
        <v>593</v>
      </c>
      <c r="AW9" s="4">
        <v>5</v>
      </c>
      <c r="AX9" s="5">
        <v>15</v>
      </c>
      <c r="AY9" s="6">
        <v>286</v>
      </c>
      <c r="AZ9" s="19">
        <f t="shared" si="8"/>
        <v>281</v>
      </c>
      <c r="BA9" s="4">
        <v>4</v>
      </c>
      <c r="BB9" s="5">
        <v>23</v>
      </c>
      <c r="BC9" s="6">
        <v>329</v>
      </c>
      <c r="BD9" s="19">
        <f t="shared" si="9"/>
        <v>325</v>
      </c>
      <c r="BE9" s="4">
        <v>4</v>
      </c>
      <c r="BF9" s="5">
        <v>4</v>
      </c>
      <c r="BG9" s="6">
        <v>4</v>
      </c>
      <c r="BH9" s="4">
        <v>1.21</v>
      </c>
      <c r="BI9" s="5">
        <v>0.96</v>
      </c>
      <c r="BJ9" s="6">
        <v>1.21</v>
      </c>
      <c r="BK9" s="19">
        <f t="shared" si="10"/>
        <v>0</v>
      </c>
      <c r="BL9" s="4">
        <v>4.5999999999999996</v>
      </c>
      <c r="BM9" s="5">
        <v>4.28</v>
      </c>
      <c r="BN9" s="6">
        <v>5.38</v>
      </c>
      <c r="BO9" s="19">
        <f t="shared" si="11"/>
        <v>0.78000000000000025</v>
      </c>
      <c r="BP9" s="4">
        <v>315</v>
      </c>
      <c r="BQ9" s="5">
        <v>447</v>
      </c>
      <c r="BR9" s="6">
        <v>1230</v>
      </c>
      <c r="BS9" s="19">
        <f>BR9-BP9</f>
        <v>915</v>
      </c>
      <c r="BT9" s="4">
        <v>2.8</v>
      </c>
      <c r="BU9" s="5">
        <v>11.7</v>
      </c>
      <c r="BV9" s="6">
        <v>68.900000000000006</v>
      </c>
      <c r="BW9" s="19">
        <f>BV9-BT9</f>
        <v>66.100000000000009</v>
      </c>
      <c r="BX9" s="4">
        <v>4.5</v>
      </c>
      <c r="BY9" s="5">
        <v>2.2999999999999998</v>
      </c>
      <c r="BZ9" s="19">
        <f>BY9-BX9</f>
        <v>-2.2000000000000002</v>
      </c>
      <c r="CA9" s="6">
        <v>0.1</v>
      </c>
      <c r="CB9" s="4">
        <v>18.600000000000001</v>
      </c>
      <c r="CC9" s="5">
        <v>17.5</v>
      </c>
      <c r="CD9" s="6">
        <v>6.6</v>
      </c>
    </row>
    <row r="10" spans="1:82" x14ac:dyDescent="0.25">
      <c r="A10" s="14" t="s">
        <v>92</v>
      </c>
      <c r="B10" s="2">
        <v>1191</v>
      </c>
      <c r="C10" s="3">
        <v>2</v>
      </c>
      <c r="D10">
        <v>2</v>
      </c>
      <c r="E10">
        <v>3</v>
      </c>
      <c r="F10">
        <v>1</v>
      </c>
      <c r="G10">
        <v>1</v>
      </c>
      <c r="H10">
        <v>525</v>
      </c>
      <c r="I10">
        <v>2</v>
      </c>
      <c r="J10">
        <v>73</v>
      </c>
      <c r="K10">
        <v>1</v>
      </c>
      <c r="L10">
        <v>23.66</v>
      </c>
      <c r="M10">
        <v>3.31</v>
      </c>
      <c r="N10">
        <v>3.09</v>
      </c>
      <c r="O10" t="s">
        <v>127</v>
      </c>
      <c r="P10">
        <v>58</v>
      </c>
      <c r="Q10">
        <v>1</v>
      </c>
      <c r="R10">
        <v>6</v>
      </c>
      <c r="S10">
        <v>36.86</v>
      </c>
      <c r="T10" s="15">
        <f t="shared" si="0"/>
        <v>0.22076500000000002</v>
      </c>
      <c r="U10" s="16">
        <f t="shared" si="1"/>
        <v>0.19875999999999999</v>
      </c>
      <c r="V10" s="17">
        <f t="shared" si="2"/>
        <v>0.426145</v>
      </c>
      <c r="W10" s="4">
        <v>0.19</v>
      </c>
      <c r="X10" s="5">
        <v>0.16</v>
      </c>
      <c r="Y10" s="6">
        <v>0.47</v>
      </c>
      <c r="Z10" s="19">
        <f t="shared" si="3"/>
        <v>0.27999999999999997</v>
      </c>
      <c r="AA10" s="4">
        <v>5</v>
      </c>
      <c r="AB10" s="5">
        <v>6.9</v>
      </c>
      <c r="AC10" s="6">
        <v>19.3</v>
      </c>
      <c r="AD10" s="19">
        <f t="shared" si="4"/>
        <v>14.3</v>
      </c>
      <c r="AE10" s="4">
        <v>34</v>
      </c>
      <c r="AF10" s="5">
        <v>35</v>
      </c>
      <c r="AG10" s="6">
        <v>37</v>
      </c>
      <c r="AH10" s="4">
        <v>140</v>
      </c>
      <c r="AI10" s="5">
        <v>143</v>
      </c>
      <c r="AJ10" s="6">
        <v>140</v>
      </c>
      <c r="AK10" s="19">
        <f t="shared" si="5"/>
        <v>0</v>
      </c>
      <c r="AL10" s="4">
        <v>2</v>
      </c>
      <c r="AM10" s="5">
        <v>2</v>
      </c>
      <c r="AN10" s="6">
        <v>4</v>
      </c>
      <c r="AO10" s="19">
        <f t="shared" si="6"/>
        <v>2</v>
      </c>
      <c r="AP10" s="4">
        <v>3009</v>
      </c>
      <c r="AQ10" s="5">
        <v>4113</v>
      </c>
      <c r="AR10" s="6">
        <v>7716</v>
      </c>
      <c r="AS10" s="19">
        <f t="shared" si="7"/>
        <v>4707</v>
      </c>
      <c r="AT10" s="4">
        <v>3080</v>
      </c>
      <c r="AU10" s="5">
        <v>4202</v>
      </c>
      <c r="AV10" s="6">
        <v>8017</v>
      </c>
      <c r="AW10" s="4">
        <v>25</v>
      </c>
      <c r="AX10" s="5">
        <v>30</v>
      </c>
      <c r="AY10" s="6">
        <v>155</v>
      </c>
      <c r="AZ10" s="19">
        <f t="shared" si="8"/>
        <v>130</v>
      </c>
      <c r="BA10" s="4">
        <v>92</v>
      </c>
      <c r="BB10" s="5">
        <v>110</v>
      </c>
      <c r="BC10" s="6">
        <v>759</v>
      </c>
      <c r="BD10" s="19">
        <f t="shared" si="9"/>
        <v>667</v>
      </c>
      <c r="BE10" s="4">
        <v>4</v>
      </c>
      <c r="BF10" s="5">
        <v>4</v>
      </c>
      <c r="BG10" s="6">
        <v>4</v>
      </c>
      <c r="BH10" s="4">
        <v>1.63</v>
      </c>
      <c r="BI10" s="5">
        <v>1.89</v>
      </c>
      <c r="BJ10" s="6">
        <v>0.76</v>
      </c>
      <c r="BK10" s="19">
        <f t="shared" si="10"/>
        <v>-0.86999999999999988</v>
      </c>
      <c r="BL10" s="4">
        <v>5.68</v>
      </c>
      <c r="BM10" s="5">
        <v>7.9</v>
      </c>
      <c r="BN10" s="6">
        <v>8.01</v>
      </c>
      <c r="BO10" s="19">
        <f t="shared" si="11"/>
        <v>2.33</v>
      </c>
      <c r="BP10" s="4">
        <v>1995</v>
      </c>
      <c r="BQ10" s="5">
        <v>1995</v>
      </c>
      <c r="BR10" s="6">
        <v>3325</v>
      </c>
      <c r="BS10" s="19">
        <f>BR10-BP10</f>
        <v>1330</v>
      </c>
      <c r="BT10" s="4">
        <v>4.9000000000000004</v>
      </c>
      <c r="BU10" s="5">
        <v>9.1999999999999993</v>
      </c>
      <c r="BV10" s="6">
        <v>106.4</v>
      </c>
      <c r="BW10" s="19">
        <f>BV10-BT10</f>
        <v>101.5</v>
      </c>
      <c r="BX10" s="4">
        <v>6.3</v>
      </c>
      <c r="BY10" s="5">
        <v>1.1000000000000001</v>
      </c>
      <c r="BZ10" s="19">
        <f>BY10-BX10</f>
        <v>-5.1999999999999993</v>
      </c>
      <c r="CC10" s="5"/>
    </row>
    <row r="11" spans="1:82" x14ac:dyDescent="0.25">
      <c r="A11" s="14" t="s">
        <v>102</v>
      </c>
      <c r="B11">
        <v>1907</v>
      </c>
      <c r="C11" s="3">
        <v>2</v>
      </c>
      <c r="D11">
        <v>2</v>
      </c>
      <c r="E11">
        <v>1</v>
      </c>
      <c r="F11">
        <v>1</v>
      </c>
      <c r="G11">
        <v>1</v>
      </c>
      <c r="H11">
        <v>534</v>
      </c>
      <c r="I11">
        <v>1</v>
      </c>
      <c r="J11">
        <v>49</v>
      </c>
      <c r="K11">
        <v>1</v>
      </c>
      <c r="L11">
        <v>30.56</v>
      </c>
      <c r="M11">
        <v>2.1800000000000002</v>
      </c>
      <c r="N11">
        <v>1.42</v>
      </c>
      <c r="O11" t="s">
        <v>127</v>
      </c>
      <c r="P11">
        <v>54</v>
      </c>
      <c r="Q11">
        <v>1</v>
      </c>
      <c r="R11">
        <v>14</v>
      </c>
      <c r="S11">
        <v>34.090000000000003</v>
      </c>
      <c r="T11" s="15">
        <f t="shared" si="0"/>
        <v>0.33812500000000001</v>
      </c>
      <c r="U11" s="16">
        <f t="shared" si="1"/>
        <v>0.27944500000000005</v>
      </c>
      <c r="V11" s="17">
        <f t="shared" si="2"/>
        <v>0.36013000000000006</v>
      </c>
      <c r="W11" s="4">
        <v>0.35</v>
      </c>
      <c r="X11" s="5">
        <v>0.27</v>
      </c>
      <c r="Y11" s="6">
        <v>0.38</v>
      </c>
      <c r="Z11" s="19">
        <f t="shared" si="3"/>
        <v>3.0000000000000027E-2</v>
      </c>
      <c r="AA11" s="4">
        <v>5.3</v>
      </c>
      <c r="AB11" s="5">
        <v>7.3</v>
      </c>
      <c r="AC11" s="6">
        <v>17.8</v>
      </c>
      <c r="AD11" s="19">
        <f t="shared" si="4"/>
        <v>12.5</v>
      </c>
      <c r="AE11" s="4">
        <v>45</v>
      </c>
      <c r="AF11" s="5">
        <v>47</v>
      </c>
      <c r="AG11" s="6">
        <v>48</v>
      </c>
      <c r="AH11" s="4">
        <v>143</v>
      </c>
      <c r="AI11" s="5">
        <v>142</v>
      </c>
      <c r="AJ11" s="6">
        <v>145</v>
      </c>
      <c r="AK11" s="19">
        <f t="shared" si="5"/>
        <v>2</v>
      </c>
      <c r="AL11" s="4">
        <v>6</v>
      </c>
      <c r="AM11" s="5">
        <v>9</v>
      </c>
      <c r="AN11" s="6">
        <v>24</v>
      </c>
      <c r="AO11" s="19">
        <f t="shared" si="6"/>
        <v>18</v>
      </c>
      <c r="AP11" s="4">
        <v>497</v>
      </c>
      <c r="AQ11" s="5">
        <v>562</v>
      </c>
      <c r="AR11" s="6">
        <v>1305</v>
      </c>
      <c r="AS11" s="19">
        <f t="shared" si="7"/>
        <v>808</v>
      </c>
      <c r="AU11" s="5"/>
      <c r="AV11" s="6"/>
      <c r="AW11" s="4">
        <v>7</v>
      </c>
      <c r="AX11" s="5">
        <v>9</v>
      </c>
      <c r="AY11" s="6">
        <v>70</v>
      </c>
      <c r="AZ11" s="19">
        <f t="shared" si="8"/>
        <v>63</v>
      </c>
      <c r="BA11" s="4">
        <v>4</v>
      </c>
      <c r="BB11" s="5">
        <v>10</v>
      </c>
      <c r="BC11" s="6">
        <v>98</v>
      </c>
      <c r="BD11" s="19">
        <f t="shared" si="9"/>
        <v>94</v>
      </c>
      <c r="BE11" s="4">
        <v>4</v>
      </c>
      <c r="BF11" s="5">
        <v>4</v>
      </c>
      <c r="BG11" s="6">
        <v>4</v>
      </c>
      <c r="BH11" s="4">
        <v>1.27</v>
      </c>
      <c r="BI11" s="5">
        <v>1.17</v>
      </c>
      <c r="BJ11" s="6">
        <v>0.93</v>
      </c>
      <c r="BK11" s="19">
        <f t="shared" si="10"/>
        <v>-0.33999999999999997</v>
      </c>
      <c r="BL11" s="4">
        <v>6.31</v>
      </c>
      <c r="BM11" s="5">
        <v>7.17</v>
      </c>
      <c r="BN11" s="6">
        <v>8.17</v>
      </c>
      <c r="BO11" s="19">
        <f t="shared" si="11"/>
        <v>1.8600000000000003</v>
      </c>
      <c r="BP11" s="4">
        <v>1899</v>
      </c>
      <c r="BQ11" s="5">
        <v>2383</v>
      </c>
      <c r="BR11" s="6">
        <v>1995</v>
      </c>
      <c r="BS11" s="19">
        <f>BR11-BP11</f>
        <v>96</v>
      </c>
      <c r="BT11" s="4">
        <v>6.4</v>
      </c>
      <c r="BU11" s="5">
        <v>18.2</v>
      </c>
      <c r="BV11" s="6">
        <v>125.1</v>
      </c>
      <c r="BW11" s="19">
        <f>BV11-BT11</f>
        <v>118.69999999999999</v>
      </c>
      <c r="BX11" s="4">
        <v>7.9</v>
      </c>
      <c r="BY11" s="5">
        <v>2.1</v>
      </c>
      <c r="BZ11" s="19">
        <f>BY11-BX11</f>
        <v>-5.8000000000000007</v>
      </c>
      <c r="CC11" s="5"/>
    </row>
    <row r="12" spans="1:82" x14ac:dyDescent="0.25">
      <c r="A12" s="14" t="s">
        <v>96</v>
      </c>
      <c r="B12" s="2">
        <v>1437</v>
      </c>
      <c r="C12" s="3">
        <v>1</v>
      </c>
      <c r="D12">
        <v>2</v>
      </c>
      <c r="E12">
        <v>2</v>
      </c>
      <c r="F12">
        <v>2</v>
      </c>
      <c r="G12">
        <v>2</v>
      </c>
      <c r="H12">
        <v>535</v>
      </c>
      <c r="I12">
        <v>2</v>
      </c>
      <c r="J12">
        <v>22</v>
      </c>
      <c r="K12">
        <v>1</v>
      </c>
      <c r="L12">
        <v>28.91</v>
      </c>
      <c r="M12">
        <v>2.65</v>
      </c>
      <c r="N12">
        <v>1.69</v>
      </c>
      <c r="O12" t="s">
        <v>126</v>
      </c>
      <c r="P12">
        <v>62</v>
      </c>
      <c r="Q12">
        <v>1</v>
      </c>
      <c r="R12">
        <v>8</v>
      </c>
      <c r="S12">
        <v>31.16</v>
      </c>
      <c r="T12" s="15">
        <f t="shared" si="0"/>
        <v>0.20609500000000003</v>
      </c>
      <c r="U12" s="16">
        <f t="shared" si="1"/>
        <v>0.27944500000000005</v>
      </c>
      <c r="V12" s="17">
        <f t="shared" si="2"/>
        <v>0.66820000000000013</v>
      </c>
      <c r="W12" s="4">
        <v>0.17</v>
      </c>
      <c r="X12" s="5">
        <v>0.27</v>
      </c>
      <c r="Y12" s="6">
        <v>0.8</v>
      </c>
      <c r="Z12" s="19">
        <f t="shared" si="3"/>
        <v>0.63</v>
      </c>
      <c r="AA12" s="4">
        <v>2.7</v>
      </c>
      <c r="AB12" s="5">
        <v>3.5</v>
      </c>
      <c r="AC12" s="6">
        <v>12.8</v>
      </c>
      <c r="AD12" s="19">
        <f t="shared" si="4"/>
        <v>10.100000000000001</v>
      </c>
      <c r="AE12" s="4">
        <v>23</v>
      </c>
      <c r="AF12" s="5">
        <v>25</v>
      </c>
      <c r="AG12" s="6">
        <v>27</v>
      </c>
      <c r="AH12" s="4">
        <v>148</v>
      </c>
      <c r="AI12" s="5">
        <v>145</v>
      </c>
      <c r="AJ12" s="6">
        <v>148</v>
      </c>
      <c r="AK12" s="19">
        <f t="shared" si="5"/>
        <v>0</v>
      </c>
      <c r="AL12" s="4">
        <v>2</v>
      </c>
      <c r="AM12" s="5">
        <v>2</v>
      </c>
      <c r="AN12" s="6">
        <v>14</v>
      </c>
      <c r="AO12" s="19">
        <f t="shared" si="6"/>
        <v>12</v>
      </c>
      <c r="AP12" s="4">
        <v>451</v>
      </c>
      <c r="AQ12" s="5">
        <v>570</v>
      </c>
      <c r="AR12" s="6">
        <v>1363</v>
      </c>
      <c r="AS12" s="19">
        <f t="shared" si="7"/>
        <v>912</v>
      </c>
      <c r="AU12" s="5"/>
      <c r="AV12" s="6"/>
      <c r="AW12" s="4">
        <v>5</v>
      </c>
      <c r="AX12" s="5">
        <v>14</v>
      </c>
      <c r="AY12" s="6">
        <v>72</v>
      </c>
      <c r="AZ12" s="19">
        <f t="shared" si="8"/>
        <v>67</v>
      </c>
      <c r="BA12" s="4">
        <v>4</v>
      </c>
      <c r="BB12" s="5">
        <v>4</v>
      </c>
      <c r="BC12" s="6">
        <v>127</v>
      </c>
      <c r="BD12" s="19">
        <f t="shared" si="9"/>
        <v>123</v>
      </c>
      <c r="BE12" s="4">
        <v>4</v>
      </c>
      <c r="BF12" s="5">
        <v>4</v>
      </c>
      <c r="BG12" s="6">
        <v>4</v>
      </c>
      <c r="BH12" s="4">
        <v>1.28</v>
      </c>
      <c r="BI12" s="5">
        <v>1.23</v>
      </c>
      <c r="BJ12" s="6">
        <v>1.0900000000000001</v>
      </c>
      <c r="BK12" s="19">
        <f t="shared" si="10"/>
        <v>-0.18999999999999995</v>
      </c>
      <c r="BL12" s="4">
        <v>4.92</v>
      </c>
      <c r="BM12" s="5">
        <v>5.54</v>
      </c>
      <c r="BN12" s="6">
        <v>6.84</v>
      </c>
      <c r="BO12" s="19">
        <f t="shared" si="11"/>
        <v>1.92</v>
      </c>
      <c r="BQ12" s="5">
        <v>1308</v>
      </c>
      <c r="BR12" s="6">
        <v>3055</v>
      </c>
      <c r="BU12" s="5">
        <v>17.899999999999999</v>
      </c>
      <c r="BV12" s="6">
        <v>145.69999999999999</v>
      </c>
      <c r="BY12" s="5"/>
      <c r="CA12" s="6">
        <v>1.4</v>
      </c>
      <c r="CB12" s="4">
        <v>41</v>
      </c>
      <c r="CC12" s="5">
        <v>39</v>
      </c>
      <c r="CD12" s="6">
        <v>6.7</v>
      </c>
    </row>
    <row r="13" spans="1:82" x14ac:dyDescent="0.25">
      <c r="A13" s="14" t="s">
        <v>106</v>
      </c>
      <c r="B13" s="2">
        <v>5101</v>
      </c>
      <c r="C13" s="3">
        <v>1</v>
      </c>
      <c r="D13">
        <v>1</v>
      </c>
      <c r="E13">
        <v>3</v>
      </c>
      <c r="F13">
        <v>2</v>
      </c>
      <c r="G13">
        <v>2</v>
      </c>
      <c r="H13">
        <v>607</v>
      </c>
      <c r="I13">
        <v>1</v>
      </c>
      <c r="J13">
        <v>70</v>
      </c>
      <c r="K13">
        <v>2</v>
      </c>
      <c r="L13">
        <v>26.26</v>
      </c>
      <c r="M13">
        <v>1.96</v>
      </c>
      <c r="N13">
        <v>2.06</v>
      </c>
      <c r="O13" t="s">
        <v>128</v>
      </c>
      <c r="P13">
        <v>68</v>
      </c>
      <c r="Q13">
        <v>1</v>
      </c>
      <c r="R13">
        <v>17</v>
      </c>
      <c r="S13">
        <v>25.51</v>
      </c>
      <c r="T13" s="15">
        <f t="shared" si="0"/>
        <v>0.57284500000000005</v>
      </c>
      <c r="U13" s="16">
        <f t="shared" si="1"/>
        <v>0.46282000000000001</v>
      </c>
      <c r="V13" s="17">
        <f t="shared" si="2"/>
        <v>0.93959500000000007</v>
      </c>
      <c r="W13" s="4">
        <v>0.67</v>
      </c>
      <c r="X13" s="5">
        <v>0.52</v>
      </c>
      <c r="Y13" s="6">
        <v>1.17</v>
      </c>
      <c r="Z13" s="19">
        <f t="shared" si="3"/>
        <v>0.49999999999999989</v>
      </c>
      <c r="AA13" s="4">
        <v>2.5</v>
      </c>
      <c r="AC13" s="6"/>
      <c r="AD13" s="19">
        <f t="shared" si="4"/>
        <v>-2.5</v>
      </c>
      <c r="AE13" s="4">
        <v>19</v>
      </c>
      <c r="AF13" s="5"/>
      <c r="AG13" s="6"/>
      <c r="AH13" s="4">
        <v>142</v>
      </c>
      <c r="AI13" s="5"/>
      <c r="AJ13" s="6"/>
      <c r="AL13" s="4">
        <v>2</v>
      </c>
      <c r="AM13" s="5"/>
      <c r="AN13" s="6"/>
      <c r="AP13" s="4">
        <v>4113</v>
      </c>
      <c r="AQ13" s="5"/>
      <c r="AR13" s="6"/>
      <c r="AT13" s="4">
        <v>4202</v>
      </c>
      <c r="AU13" s="5"/>
      <c r="AV13" s="6"/>
      <c r="AW13" s="4">
        <v>10</v>
      </c>
      <c r="AX13" s="5"/>
      <c r="AY13" s="6"/>
      <c r="BA13" s="4">
        <v>16</v>
      </c>
      <c r="BB13" s="5"/>
      <c r="BE13" s="4">
        <v>4</v>
      </c>
      <c r="BF13" s="5"/>
      <c r="BH13" s="4">
        <v>1.21</v>
      </c>
      <c r="BI13" s="5"/>
      <c r="BL13" s="4">
        <v>7.58</v>
      </c>
      <c r="BM13" s="5"/>
      <c r="BP13" s="4">
        <v>1995</v>
      </c>
      <c r="BQ13" s="5"/>
      <c r="BT13" s="4">
        <v>7.7</v>
      </c>
      <c r="BU13" s="5"/>
      <c r="BX13" s="4">
        <v>16</v>
      </c>
      <c r="BY13" s="5">
        <v>6.7</v>
      </c>
      <c r="BZ13" s="19">
        <f>BY13-BX13</f>
        <v>-9.3000000000000007</v>
      </c>
      <c r="CA13" s="6">
        <v>0.4</v>
      </c>
      <c r="CB13" s="4">
        <v>17.2</v>
      </c>
      <c r="CC13" s="5">
        <v>18.3</v>
      </c>
      <c r="CD13" s="6">
        <v>5.0999999999999996</v>
      </c>
    </row>
    <row r="14" spans="1:82" x14ac:dyDescent="0.25">
      <c r="A14" s="14" t="s">
        <v>94</v>
      </c>
      <c r="B14" s="2">
        <v>1344</v>
      </c>
      <c r="C14" s="3">
        <v>2</v>
      </c>
      <c r="D14">
        <v>2</v>
      </c>
      <c r="E14">
        <v>2</v>
      </c>
      <c r="F14">
        <v>1</v>
      </c>
      <c r="G14">
        <v>1</v>
      </c>
      <c r="H14">
        <v>647</v>
      </c>
      <c r="I14">
        <v>1</v>
      </c>
      <c r="J14">
        <v>37</v>
      </c>
      <c r="K14">
        <v>1</v>
      </c>
      <c r="L14">
        <v>23.56</v>
      </c>
      <c r="M14">
        <v>1.05</v>
      </c>
      <c r="N14">
        <v>1.31</v>
      </c>
      <c r="O14" t="s">
        <v>125</v>
      </c>
      <c r="P14">
        <v>51</v>
      </c>
      <c r="Q14">
        <v>1</v>
      </c>
      <c r="R14">
        <v>26</v>
      </c>
      <c r="S14">
        <v>25.39</v>
      </c>
      <c r="T14" s="15">
        <f t="shared" si="0"/>
        <v>0.132745</v>
      </c>
      <c r="U14" s="16">
        <f t="shared" si="1"/>
        <v>0.15475</v>
      </c>
      <c r="V14" s="17">
        <f t="shared" si="2"/>
        <v>0.74155000000000004</v>
      </c>
      <c r="W14" s="4">
        <v>7.0000000000000007E-2</v>
      </c>
      <c r="X14" s="5">
        <v>0.1</v>
      </c>
      <c r="Y14" s="6">
        <v>0.9</v>
      </c>
      <c r="Z14" s="19">
        <f t="shared" si="3"/>
        <v>0.83000000000000007</v>
      </c>
      <c r="AA14" s="4">
        <v>3.8</v>
      </c>
      <c r="AB14" s="5">
        <v>5.7</v>
      </c>
      <c r="AC14" s="6">
        <v>25.3</v>
      </c>
      <c r="AD14" s="19">
        <f t="shared" si="4"/>
        <v>21.5</v>
      </c>
      <c r="AE14" s="4">
        <v>30</v>
      </c>
      <c r="AF14" s="5">
        <v>33</v>
      </c>
      <c r="AG14" s="6">
        <v>31</v>
      </c>
      <c r="AH14" s="4">
        <v>139</v>
      </c>
      <c r="AI14" s="5">
        <v>142</v>
      </c>
      <c r="AJ14" s="6">
        <v>148</v>
      </c>
      <c r="AK14" s="19">
        <f t="shared" ref="AK14:AK26" si="12">AJ14-AH14</f>
        <v>9</v>
      </c>
      <c r="AL14" s="4">
        <v>2</v>
      </c>
      <c r="AM14" s="5">
        <v>3</v>
      </c>
      <c r="AN14" s="6">
        <v>69</v>
      </c>
      <c r="AO14" s="19">
        <f t="shared" ref="AO14:AO26" si="13">AN14-AL14</f>
        <v>67</v>
      </c>
      <c r="AP14" s="4">
        <v>859</v>
      </c>
      <c r="AQ14" s="5">
        <v>958</v>
      </c>
      <c r="AR14" s="6">
        <v>1915</v>
      </c>
      <c r="AS14" s="19">
        <f t="shared" ref="AS14:AS26" si="14">AR14-AP14</f>
        <v>1056</v>
      </c>
      <c r="AU14" s="5"/>
      <c r="AV14" s="6"/>
      <c r="AW14" s="4">
        <v>14</v>
      </c>
      <c r="AX14" s="5">
        <v>22</v>
      </c>
      <c r="AY14" s="6">
        <v>206</v>
      </c>
      <c r="AZ14" s="19">
        <f t="shared" ref="AZ14:AZ26" si="15">AY14-AW14</f>
        <v>192</v>
      </c>
      <c r="BA14" s="4">
        <v>8</v>
      </c>
      <c r="BB14" s="5">
        <v>14</v>
      </c>
      <c r="BC14" s="6">
        <v>192</v>
      </c>
      <c r="BD14" s="19">
        <f t="shared" ref="BD14:BD26" si="16">BC14-BA14</f>
        <v>184</v>
      </c>
      <c r="BE14" s="4">
        <v>4</v>
      </c>
      <c r="BF14" s="5">
        <v>4</v>
      </c>
      <c r="BG14" s="6">
        <v>4</v>
      </c>
      <c r="BH14" s="4">
        <v>1.0900000000000001</v>
      </c>
      <c r="BI14" s="5">
        <v>0.94</v>
      </c>
      <c r="BJ14" s="6">
        <v>0.99</v>
      </c>
      <c r="BK14" s="19">
        <f t="shared" ref="BK14:BK26" si="17">BJ14-BH14</f>
        <v>-0.10000000000000009</v>
      </c>
      <c r="BL14" s="4">
        <v>5.8</v>
      </c>
      <c r="BM14" s="5">
        <v>7.18</v>
      </c>
      <c r="BN14" s="6">
        <v>12.04</v>
      </c>
      <c r="BO14" s="19">
        <f t="shared" ref="BO14:BO26" si="18">BN14-BL14</f>
        <v>6.2399999999999993</v>
      </c>
      <c r="BP14" s="4">
        <v>2492</v>
      </c>
      <c r="BQ14" s="5">
        <v>1995</v>
      </c>
      <c r="BR14" s="6">
        <v>3325</v>
      </c>
      <c r="BS14" s="19">
        <f>BR14-BP14</f>
        <v>833</v>
      </c>
      <c r="BT14" s="4">
        <v>16.899999999999999</v>
      </c>
      <c r="BU14" s="5">
        <v>38</v>
      </c>
      <c r="BV14" s="6">
        <v>354.8</v>
      </c>
      <c r="BW14" s="19">
        <f>BV14-BT14</f>
        <v>337.90000000000003</v>
      </c>
      <c r="BY14" s="5"/>
      <c r="CA14" s="6">
        <v>0.9</v>
      </c>
      <c r="CB14" s="4">
        <v>15.5</v>
      </c>
      <c r="CC14" s="5">
        <v>19.100000000000001</v>
      </c>
      <c r="CD14" s="6">
        <v>12.5</v>
      </c>
    </row>
    <row r="15" spans="1:82" x14ac:dyDescent="0.25">
      <c r="A15" s="14" t="s">
        <v>105</v>
      </c>
      <c r="B15">
        <v>3273</v>
      </c>
      <c r="C15" s="3">
        <v>1</v>
      </c>
      <c r="D15">
        <v>2</v>
      </c>
      <c r="E15">
        <v>8</v>
      </c>
      <c r="F15">
        <v>2</v>
      </c>
      <c r="G15">
        <v>2</v>
      </c>
      <c r="H15">
        <v>660</v>
      </c>
      <c r="I15">
        <v>2</v>
      </c>
      <c r="J15">
        <v>51</v>
      </c>
      <c r="K15">
        <v>2</v>
      </c>
      <c r="L15">
        <v>38.1</v>
      </c>
      <c r="N15">
        <v>2.42</v>
      </c>
      <c r="O15" t="s">
        <v>128</v>
      </c>
      <c r="P15">
        <v>71</v>
      </c>
      <c r="Q15">
        <v>1</v>
      </c>
      <c r="R15">
        <v>10</v>
      </c>
      <c r="S15">
        <v>40.54</v>
      </c>
      <c r="T15" s="15">
        <f t="shared" si="0"/>
        <v>0.21343000000000001</v>
      </c>
      <c r="U15" s="16">
        <f t="shared" si="1"/>
        <v>0.18409000000000003</v>
      </c>
      <c r="V15" s="17">
        <f t="shared" si="2"/>
        <v>0.176755</v>
      </c>
      <c r="W15" s="4">
        <v>0.18</v>
      </c>
      <c r="X15" s="5">
        <v>0.14000000000000001</v>
      </c>
      <c r="Y15" s="6">
        <v>0.13</v>
      </c>
      <c r="Z15" s="19">
        <f t="shared" si="3"/>
        <v>-4.9999999999999989E-2</v>
      </c>
      <c r="AA15" s="4">
        <v>2.2999999999999998</v>
      </c>
      <c r="AB15" s="5">
        <v>2.4</v>
      </c>
      <c r="AC15" s="6">
        <v>13.2</v>
      </c>
      <c r="AD15" s="19">
        <f t="shared" si="4"/>
        <v>10.899999999999999</v>
      </c>
      <c r="AE15" s="4">
        <v>16</v>
      </c>
      <c r="AF15" s="5">
        <v>15</v>
      </c>
      <c r="AG15" s="6">
        <v>19</v>
      </c>
      <c r="AH15" s="4">
        <v>145</v>
      </c>
      <c r="AI15" s="5">
        <v>151</v>
      </c>
      <c r="AJ15" s="6">
        <v>157</v>
      </c>
      <c r="AK15" s="19">
        <f t="shared" si="12"/>
        <v>12</v>
      </c>
      <c r="AL15" s="4">
        <v>3</v>
      </c>
      <c r="AM15" s="5">
        <v>5</v>
      </c>
      <c r="AN15" s="6">
        <v>9</v>
      </c>
      <c r="AO15" s="19">
        <f t="shared" si="13"/>
        <v>6</v>
      </c>
      <c r="AP15" s="4">
        <v>3187</v>
      </c>
      <c r="AQ15" s="5">
        <v>3292</v>
      </c>
      <c r="AR15" s="6">
        <v>3648</v>
      </c>
      <c r="AS15" s="19">
        <f t="shared" si="14"/>
        <v>461</v>
      </c>
      <c r="AU15" s="5">
        <v>4202</v>
      </c>
      <c r="AV15" s="6">
        <v>4202</v>
      </c>
      <c r="AW15" s="4">
        <v>12</v>
      </c>
      <c r="AX15" s="5">
        <v>21</v>
      </c>
      <c r="AY15" s="6">
        <v>199</v>
      </c>
      <c r="AZ15" s="19">
        <f t="shared" si="15"/>
        <v>187</v>
      </c>
      <c r="BA15" s="4">
        <v>25</v>
      </c>
      <c r="BB15" s="5">
        <v>53</v>
      </c>
      <c r="BC15" s="6">
        <v>674</v>
      </c>
      <c r="BD15" s="19">
        <f t="shared" si="16"/>
        <v>649</v>
      </c>
      <c r="BE15" s="4">
        <v>4</v>
      </c>
      <c r="BF15" s="5">
        <v>4</v>
      </c>
      <c r="BG15" s="6">
        <v>4</v>
      </c>
      <c r="BH15" s="4">
        <v>0.75</v>
      </c>
      <c r="BI15" s="5">
        <v>0.73</v>
      </c>
      <c r="BJ15" s="6">
        <v>0.79</v>
      </c>
      <c r="BK15" s="19">
        <f t="shared" si="17"/>
        <v>4.0000000000000036E-2</v>
      </c>
      <c r="BL15" s="4">
        <v>7.1</v>
      </c>
      <c r="BM15" s="5">
        <v>8.17</v>
      </c>
      <c r="BN15" s="6">
        <v>8.17</v>
      </c>
      <c r="BO15" s="19">
        <f t="shared" si="18"/>
        <v>1.0700000000000003</v>
      </c>
      <c r="BQ15" s="5">
        <v>1995</v>
      </c>
      <c r="BR15" s="6">
        <v>1995</v>
      </c>
      <c r="BU15" s="5">
        <v>17.5</v>
      </c>
      <c r="BV15" s="6">
        <v>150.4</v>
      </c>
      <c r="BX15" s="4">
        <v>15</v>
      </c>
      <c r="BY15" s="5">
        <v>5.6</v>
      </c>
      <c r="BZ15" s="19">
        <f>BY15-BX15</f>
        <v>-9.4</v>
      </c>
      <c r="CC15" s="5"/>
    </row>
    <row r="16" spans="1:82" x14ac:dyDescent="0.25">
      <c r="A16" s="14" t="s">
        <v>91</v>
      </c>
      <c r="B16" s="2">
        <v>1188</v>
      </c>
      <c r="C16" s="3">
        <v>1</v>
      </c>
      <c r="D16">
        <v>2</v>
      </c>
      <c r="E16">
        <v>1</v>
      </c>
      <c r="F16">
        <v>1</v>
      </c>
      <c r="G16">
        <v>1</v>
      </c>
      <c r="H16">
        <v>674</v>
      </c>
      <c r="I16">
        <v>1</v>
      </c>
      <c r="J16">
        <v>54</v>
      </c>
      <c r="K16">
        <v>1</v>
      </c>
      <c r="L16">
        <v>27.43</v>
      </c>
      <c r="M16">
        <v>0.97</v>
      </c>
      <c r="N16">
        <v>1.28</v>
      </c>
      <c r="O16" t="s">
        <v>125</v>
      </c>
      <c r="P16">
        <v>19</v>
      </c>
      <c r="Q16">
        <v>2</v>
      </c>
      <c r="R16">
        <v>11</v>
      </c>
      <c r="S16">
        <v>22.38</v>
      </c>
      <c r="T16" s="15">
        <f t="shared" si="0"/>
        <v>0.24277000000000001</v>
      </c>
      <c r="U16" s="16">
        <f t="shared" si="1"/>
        <v>0.23543500000000001</v>
      </c>
      <c r="V16" s="17">
        <f t="shared" si="2"/>
        <v>0.26477499999999998</v>
      </c>
      <c r="W16" s="4">
        <v>0.22</v>
      </c>
      <c r="X16" s="5">
        <v>0.21</v>
      </c>
      <c r="Y16" s="6">
        <v>0.25</v>
      </c>
      <c r="Z16" s="19">
        <f t="shared" si="3"/>
        <v>0.03</v>
      </c>
      <c r="AA16" s="4">
        <v>3.9</v>
      </c>
      <c r="AB16" s="5">
        <v>5.6</v>
      </c>
      <c r="AC16" s="6">
        <v>22.3</v>
      </c>
      <c r="AD16" s="19">
        <f t="shared" si="4"/>
        <v>18.400000000000002</v>
      </c>
      <c r="AE16" s="4">
        <v>37</v>
      </c>
      <c r="AF16" s="5">
        <v>40</v>
      </c>
      <c r="AG16" s="6">
        <v>39</v>
      </c>
      <c r="AH16" s="4">
        <v>135</v>
      </c>
      <c r="AI16" s="5">
        <v>134</v>
      </c>
      <c r="AJ16" s="6">
        <v>126</v>
      </c>
      <c r="AK16" s="19">
        <f t="shared" si="12"/>
        <v>-9</v>
      </c>
      <c r="AL16" s="4">
        <v>2</v>
      </c>
      <c r="AM16" s="5">
        <v>2</v>
      </c>
      <c r="AN16" s="6">
        <v>2</v>
      </c>
      <c r="AO16" s="19">
        <f t="shared" si="13"/>
        <v>0</v>
      </c>
      <c r="AP16" s="4">
        <v>461</v>
      </c>
      <c r="AQ16" s="5">
        <v>475</v>
      </c>
      <c r="AR16" s="6">
        <v>1817</v>
      </c>
      <c r="AS16" s="19">
        <f t="shared" si="14"/>
        <v>1356</v>
      </c>
      <c r="AU16" s="5"/>
      <c r="AV16" s="6"/>
      <c r="AW16" s="4">
        <v>5</v>
      </c>
      <c r="AX16" s="5">
        <v>5</v>
      </c>
      <c r="AY16" s="6">
        <v>8</v>
      </c>
      <c r="AZ16" s="19">
        <f t="shared" si="15"/>
        <v>3</v>
      </c>
      <c r="BA16" s="4">
        <v>4</v>
      </c>
      <c r="BB16" s="5">
        <v>4</v>
      </c>
      <c r="BC16" s="6">
        <v>8</v>
      </c>
      <c r="BD16" s="19">
        <f t="shared" si="16"/>
        <v>4</v>
      </c>
      <c r="BE16" s="4">
        <v>4</v>
      </c>
      <c r="BF16" s="5">
        <v>4</v>
      </c>
      <c r="BG16" s="6">
        <v>4</v>
      </c>
      <c r="BH16" s="4">
        <v>1.6</v>
      </c>
      <c r="BI16" s="5">
        <v>0.5</v>
      </c>
      <c r="BJ16" s="6">
        <v>1.53</v>
      </c>
      <c r="BK16" s="19">
        <f t="shared" si="17"/>
        <v>-7.0000000000000062E-2</v>
      </c>
      <c r="BL16" s="4">
        <v>6.26</v>
      </c>
      <c r="BM16" s="5">
        <v>6.2</v>
      </c>
      <c r="BN16" s="6">
        <v>7.73</v>
      </c>
      <c r="BO16" s="19">
        <f t="shared" si="18"/>
        <v>1.4700000000000006</v>
      </c>
      <c r="BP16" s="4">
        <v>1018</v>
      </c>
      <c r="BQ16" s="5">
        <v>1084</v>
      </c>
      <c r="BR16" s="6">
        <v>3325</v>
      </c>
      <c r="BS16" s="19">
        <f>BR16-BP16</f>
        <v>2307</v>
      </c>
      <c r="BT16" s="4">
        <v>10.6</v>
      </c>
      <c r="BU16" s="5">
        <v>37.799999999999997</v>
      </c>
      <c r="BV16" s="6">
        <v>197.9</v>
      </c>
      <c r="BW16" s="19">
        <f>BV16-BT16</f>
        <v>187.3</v>
      </c>
      <c r="BY16" s="5"/>
      <c r="CA16" s="6">
        <v>0.62</v>
      </c>
      <c r="CB16" s="4">
        <v>19</v>
      </c>
      <c r="CC16" s="5">
        <v>16.3</v>
      </c>
      <c r="CD16" s="6">
        <v>8.6999999999999993</v>
      </c>
    </row>
    <row r="17" spans="1:82" x14ac:dyDescent="0.25">
      <c r="A17" s="14" t="s">
        <v>97</v>
      </c>
      <c r="B17" s="2">
        <v>1478</v>
      </c>
      <c r="C17" s="3">
        <v>1</v>
      </c>
      <c r="D17">
        <v>2</v>
      </c>
      <c r="E17">
        <v>7</v>
      </c>
      <c r="F17">
        <v>1</v>
      </c>
      <c r="G17">
        <v>1</v>
      </c>
      <c r="H17">
        <v>674</v>
      </c>
      <c r="I17">
        <v>1</v>
      </c>
      <c r="J17">
        <v>59</v>
      </c>
      <c r="K17">
        <v>1</v>
      </c>
      <c r="L17">
        <v>24.42</v>
      </c>
      <c r="M17">
        <v>1.41</v>
      </c>
      <c r="N17">
        <v>1.72</v>
      </c>
      <c r="O17" t="s">
        <v>128</v>
      </c>
      <c r="P17">
        <v>41</v>
      </c>
      <c r="Q17">
        <v>1</v>
      </c>
      <c r="R17">
        <v>26</v>
      </c>
      <c r="S17">
        <v>39.340000000000003</v>
      </c>
      <c r="T17" s="15">
        <f t="shared" si="0"/>
        <v>0.22076500000000002</v>
      </c>
      <c r="U17" s="16">
        <f t="shared" si="1"/>
        <v>0.19875999999999999</v>
      </c>
      <c r="V17" s="17">
        <f t="shared" si="2"/>
        <v>0.36746500000000004</v>
      </c>
      <c r="W17" s="4">
        <v>0.19</v>
      </c>
      <c r="X17" s="5">
        <v>0.16</v>
      </c>
      <c r="Y17" s="6">
        <v>0.39</v>
      </c>
      <c r="Z17" s="19">
        <f t="shared" si="3"/>
        <v>0.2</v>
      </c>
      <c r="AA17" s="4">
        <v>2.2999999999999998</v>
      </c>
      <c r="AB17" s="5">
        <v>4</v>
      </c>
      <c r="AC17" s="6">
        <v>17.600000000000001</v>
      </c>
      <c r="AD17" s="19">
        <f t="shared" si="4"/>
        <v>15.3</v>
      </c>
      <c r="AE17" s="4">
        <v>24</v>
      </c>
      <c r="AF17" s="5">
        <v>24</v>
      </c>
      <c r="AG17" s="6">
        <v>27</v>
      </c>
      <c r="AH17" s="4">
        <v>142</v>
      </c>
      <c r="AI17" s="5">
        <v>147</v>
      </c>
      <c r="AJ17" s="6">
        <v>160</v>
      </c>
      <c r="AK17" s="19">
        <f t="shared" si="12"/>
        <v>18</v>
      </c>
      <c r="AL17" s="4">
        <v>3</v>
      </c>
      <c r="AM17" s="5">
        <v>8</v>
      </c>
      <c r="AN17" s="6">
        <v>14</v>
      </c>
      <c r="AO17" s="19">
        <f t="shared" si="13"/>
        <v>11</v>
      </c>
      <c r="AP17" s="4">
        <v>4390</v>
      </c>
      <c r="AQ17" s="5">
        <v>4809</v>
      </c>
      <c r="AR17" s="6">
        <v>6581</v>
      </c>
      <c r="AS17" s="19">
        <f t="shared" si="14"/>
        <v>2191</v>
      </c>
      <c r="AU17" s="5"/>
      <c r="AV17" s="6"/>
      <c r="AW17" s="4">
        <v>12</v>
      </c>
      <c r="AX17" s="5">
        <v>18</v>
      </c>
      <c r="AY17" s="6">
        <v>72</v>
      </c>
      <c r="AZ17" s="19">
        <f t="shared" si="15"/>
        <v>60</v>
      </c>
      <c r="BA17" s="4">
        <v>8</v>
      </c>
      <c r="BB17" s="5">
        <v>23</v>
      </c>
      <c r="BC17" s="6">
        <v>183</v>
      </c>
      <c r="BD17" s="19">
        <f t="shared" si="16"/>
        <v>175</v>
      </c>
      <c r="BE17" s="4">
        <v>4</v>
      </c>
      <c r="BF17" s="5">
        <v>4</v>
      </c>
      <c r="BG17" s="6">
        <v>4</v>
      </c>
      <c r="BH17" s="4">
        <v>0.79</v>
      </c>
      <c r="BI17" s="5">
        <v>0.56000000000000005</v>
      </c>
      <c r="BJ17" s="6">
        <v>0.8</v>
      </c>
      <c r="BK17" s="19">
        <f t="shared" si="17"/>
        <v>1.0000000000000009E-2</v>
      </c>
      <c r="BL17" s="4">
        <v>6.35</v>
      </c>
      <c r="BM17" s="5">
        <v>8.09</v>
      </c>
      <c r="BN17" s="6">
        <v>10.06</v>
      </c>
      <c r="BO17" s="19">
        <f t="shared" si="18"/>
        <v>3.7100000000000009</v>
      </c>
      <c r="BP17" s="4">
        <v>3325</v>
      </c>
      <c r="BQ17" s="5">
        <v>3325</v>
      </c>
      <c r="BR17" s="6">
        <v>3325</v>
      </c>
      <c r="BT17" s="4">
        <v>5.0999999999999996</v>
      </c>
      <c r="BU17" s="5">
        <v>14.7</v>
      </c>
      <c r="BV17" s="6">
        <v>111.6</v>
      </c>
      <c r="BW17" s="19">
        <f>BV17-BT17</f>
        <v>106.5</v>
      </c>
      <c r="BX17" s="4">
        <v>11.16</v>
      </c>
      <c r="BY17" s="5">
        <v>2.5099999999999998</v>
      </c>
      <c r="BZ17" s="19">
        <f>BY17-BX17</f>
        <v>-8.65</v>
      </c>
      <c r="CA17" s="6">
        <v>0.8</v>
      </c>
      <c r="CB17" s="4">
        <v>31</v>
      </c>
      <c r="CC17" s="5">
        <v>16.3</v>
      </c>
      <c r="CD17" s="6">
        <v>5.5</v>
      </c>
    </row>
    <row r="18" spans="1:82" x14ac:dyDescent="0.25">
      <c r="A18" s="14" t="s">
        <v>84</v>
      </c>
      <c r="B18">
        <v>906</v>
      </c>
      <c r="C18" s="3">
        <v>1</v>
      </c>
      <c r="D18">
        <v>2</v>
      </c>
      <c r="E18">
        <v>5</v>
      </c>
      <c r="F18">
        <v>1</v>
      </c>
      <c r="G18">
        <v>1</v>
      </c>
      <c r="H18">
        <v>694</v>
      </c>
      <c r="I18">
        <v>1</v>
      </c>
      <c r="J18">
        <v>46</v>
      </c>
      <c r="K18">
        <v>1</v>
      </c>
      <c r="L18">
        <v>46.65</v>
      </c>
      <c r="M18">
        <v>1.42</v>
      </c>
      <c r="N18">
        <v>1.54</v>
      </c>
      <c r="O18" t="s">
        <v>127</v>
      </c>
      <c r="P18">
        <v>41</v>
      </c>
      <c r="Q18">
        <v>2</v>
      </c>
      <c r="R18">
        <v>21</v>
      </c>
      <c r="S18">
        <v>50.99</v>
      </c>
      <c r="T18" s="15">
        <f t="shared" si="0"/>
        <v>0.20609500000000003</v>
      </c>
      <c r="U18" s="16">
        <f t="shared" si="1"/>
        <v>0.19142500000000001</v>
      </c>
      <c r="V18" s="17">
        <f t="shared" si="2"/>
        <v>0.12540999999999999</v>
      </c>
      <c r="W18" s="4">
        <v>0.17</v>
      </c>
      <c r="X18" s="5">
        <v>0.15</v>
      </c>
      <c r="Y18" s="6">
        <v>0.06</v>
      </c>
      <c r="Z18" s="19">
        <f t="shared" si="3"/>
        <v>-0.11000000000000001</v>
      </c>
      <c r="AA18" s="4">
        <v>4.7</v>
      </c>
      <c r="AB18" s="5">
        <v>6.5</v>
      </c>
      <c r="AC18" s="6">
        <v>21.8</v>
      </c>
      <c r="AD18" s="19">
        <f t="shared" si="4"/>
        <v>17.100000000000001</v>
      </c>
      <c r="AE18" s="4">
        <v>64</v>
      </c>
      <c r="AF18" s="5">
        <v>60</v>
      </c>
      <c r="AG18" s="6">
        <v>55</v>
      </c>
      <c r="AH18" s="4">
        <v>144</v>
      </c>
      <c r="AI18" s="5">
        <v>146</v>
      </c>
      <c r="AJ18" s="6">
        <v>150</v>
      </c>
      <c r="AK18" s="19">
        <f t="shared" si="12"/>
        <v>6</v>
      </c>
      <c r="AL18" s="4">
        <v>2</v>
      </c>
      <c r="AM18" s="5">
        <v>2</v>
      </c>
      <c r="AN18" s="6">
        <v>2</v>
      </c>
      <c r="AO18" s="19">
        <f t="shared" si="13"/>
        <v>0</v>
      </c>
      <c r="AP18" s="4">
        <v>298</v>
      </c>
      <c r="AQ18" s="5">
        <v>316</v>
      </c>
      <c r="AR18" s="6">
        <v>421</v>
      </c>
      <c r="AS18" s="19">
        <f t="shared" si="14"/>
        <v>123</v>
      </c>
      <c r="AU18" s="5">
        <v>372</v>
      </c>
      <c r="AV18" s="6">
        <v>327</v>
      </c>
      <c r="AW18" s="4">
        <v>6</v>
      </c>
      <c r="AX18" s="5">
        <v>7</v>
      </c>
      <c r="AY18" s="6">
        <v>27</v>
      </c>
      <c r="AZ18" s="19">
        <f t="shared" si="15"/>
        <v>21</v>
      </c>
      <c r="BA18" s="4">
        <v>4</v>
      </c>
      <c r="BB18" s="5">
        <v>5</v>
      </c>
      <c r="BC18" s="6">
        <v>18</v>
      </c>
      <c r="BD18" s="19">
        <f t="shared" si="16"/>
        <v>14</v>
      </c>
      <c r="BE18" s="4">
        <v>4</v>
      </c>
      <c r="BF18" s="5">
        <v>4</v>
      </c>
      <c r="BG18" s="6">
        <v>4</v>
      </c>
      <c r="BH18" s="4">
        <v>1.27</v>
      </c>
      <c r="BI18" s="5">
        <v>1.01</v>
      </c>
      <c r="BJ18" s="6">
        <v>1.05</v>
      </c>
      <c r="BK18" s="19">
        <f t="shared" si="17"/>
        <v>-0.21999999999999997</v>
      </c>
      <c r="BL18" s="4">
        <v>4.6900000000000004</v>
      </c>
      <c r="BM18" s="5">
        <v>4.5</v>
      </c>
      <c r="BN18" s="6">
        <v>6.88</v>
      </c>
      <c r="BO18" s="19">
        <f t="shared" si="18"/>
        <v>2.1899999999999995</v>
      </c>
      <c r="BP18" s="4">
        <v>1214</v>
      </c>
      <c r="BQ18" s="5">
        <v>1326</v>
      </c>
      <c r="BR18" s="6">
        <v>1982</v>
      </c>
      <c r="BS18" s="19">
        <f>BR18-BP18</f>
        <v>768</v>
      </c>
      <c r="BT18" s="4">
        <v>4.7</v>
      </c>
      <c r="BU18" s="5">
        <v>10.3</v>
      </c>
      <c r="BV18" s="6">
        <v>66.8</v>
      </c>
      <c r="BW18" s="19">
        <f>BV18-BT18</f>
        <v>62.099999999999994</v>
      </c>
      <c r="BX18" s="4">
        <v>9.6999999999999993</v>
      </c>
      <c r="BY18" s="5">
        <v>1.2</v>
      </c>
      <c r="BZ18" s="19">
        <f>BY18-BX18</f>
        <v>-8.5</v>
      </c>
      <c r="CA18" s="6">
        <v>0.1</v>
      </c>
      <c r="CB18" s="4">
        <v>30</v>
      </c>
      <c r="CC18" s="5">
        <v>30</v>
      </c>
      <c r="CD18" s="6">
        <v>5.6</v>
      </c>
    </row>
    <row r="19" spans="1:82" x14ac:dyDescent="0.25">
      <c r="A19" s="14" t="s">
        <v>85</v>
      </c>
      <c r="B19" s="2">
        <v>906</v>
      </c>
      <c r="C19" s="3">
        <v>2</v>
      </c>
      <c r="D19">
        <v>2</v>
      </c>
      <c r="E19">
        <v>9</v>
      </c>
      <c r="F19">
        <v>1</v>
      </c>
      <c r="G19">
        <v>1</v>
      </c>
      <c r="H19">
        <v>695</v>
      </c>
      <c r="I19">
        <v>1</v>
      </c>
      <c r="J19">
        <v>38</v>
      </c>
      <c r="K19">
        <v>1</v>
      </c>
      <c r="L19">
        <v>35.83</v>
      </c>
      <c r="M19">
        <v>1.44</v>
      </c>
      <c r="O19" t="s">
        <v>125</v>
      </c>
      <c r="P19">
        <v>60</v>
      </c>
      <c r="Q19">
        <v>1</v>
      </c>
      <c r="R19">
        <v>28</v>
      </c>
      <c r="S19">
        <v>25.23</v>
      </c>
      <c r="T19" s="15">
        <f t="shared" si="0"/>
        <v>0.66820000000000013</v>
      </c>
      <c r="U19" s="16">
        <f t="shared" si="1"/>
        <v>0.27944500000000005</v>
      </c>
      <c r="V19" s="17">
        <f t="shared" si="2"/>
        <v>0.12540999999999999</v>
      </c>
      <c r="W19" s="4">
        <v>0.8</v>
      </c>
      <c r="X19" s="5">
        <v>0.27</v>
      </c>
      <c r="Y19" s="6">
        <v>0.06</v>
      </c>
      <c r="Z19" s="19">
        <f t="shared" si="3"/>
        <v>-0.74</v>
      </c>
      <c r="AA19" s="4">
        <v>3.5</v>
      </c>
      <c r="AB19" s="5">
        <v>6</v>
      </c>
      <c r="AC19" s="6">
        <v>20.100000000000001</v>
      </c>
      <c r="AD19" s="19">
        <f t="shared" si="4"/>
        <v>16.600000000000001</v>
      </c>
      <c r="AE19" s="4">
        <v>26</v>
      </c>
      <c r="AF19" s="5">
        <v>28</v>
      </c>
      <c r="AG19" s="6">
        <v>29</v>
      </c>
      <c r="AH19" s="4">
        <v>140</v>
      </c>
      <c r="AI19" s="5">
        <v>133</v>
      </c>
      <c r="AJ19" s="6">
        <v>146</v>
      </c>
      <c r="AK19" s="19">
        <f t="shared" si="12"/>
        <v>6</v>
      </c>
      <c r="AL19" s="4">
        <v>2</v>
      </c>
      <c r="AM19" s="5">
        <v>2</v>
      </c>
      <c r="AN19" s="6">
        <v>2</v>
      </c>
      <c r="AO19" s="19">
        <f t="shared" si="13"/>
        <v>0</v>
      </c>
      <c r="AP19" s="4">
        <v>270</v>
      </c>
      <c r="AQ19" s="5">
        <v>322</v>
      </c>
      <c r="AR19" s="6">
        <v>712</v>
      </c>
      <c r="AS19" s="19">
        <f t="shared" si="14"/>
        <v>442</v>
      </c>
      <c r="AU19" s="5"/>
      <c r="AV19" s="6"/>
      <c r="AW19" s="4">
        <v>10</v>
      </c>
      <c r="AX19" s="5">
        <v>8</v>
      </c>
      <c r="AY19" s="6">
        <v>30</v>
      </c>
      <c r="AZ19" s="19">
        <f t="shared" si="15"/>
        <v>20</v>
      </c>
      <c r="BA19" s="4">
        <v>4</v>
      </c>
      <c r="BB19" s="5">
        <v>4</v>
      </c>
      <c r="BC19" s="6">
        <v>18</v>
      </c>
      <c r="BD19" s="19">
        <f t="shared" si="16"/>
        <v>14</v>
      </c>
      <c r="BE19" s="4">
        <v>4</v>
      </c>
      <c r="BF19" s="5">
        <v>4</v>
      </c>
      <c r="BG19" s="6">
        <v>4</v>
      </c>
      <c r="BH19" s="4">
        <v>1.44</v>
      </c>
      <c r="BI19" s="5">
        <v>1.27</v>
      </c>
      <c r="BJ19" s="6">
        <v>0.88</v>
      </c>
      <c r="BK19" s="19">
        <f t="shared" si="17"/>
        <v>-0.55999999999999994</v>
      </c>
      <c r="BL19" s="4">
        <v>6.26</v>
      </c>
      <c r="BM19" s="5">
        <v>6.72</v>
      </c>
      <c r="BN19" s="6">
        <v>7.71</v>
      </c>
      <c r="BO19" s="19">
        <f t="shared" si="18"/>
        <v>1.4500000000000002</v>
      </c>
      <c r="BP19" s="4">
        <v>1142</v>
      </c>
      <c r="BQ19" s="5">
        <v>1322</v>
      </c>
      <c r="BR19" s="6">
        <v>1995</v>
      </c>
      <c r="BS19" s="19">
        <f>BR19-BP19</f>
        <v>853</v>
      </c>
      <c r="BT19" s="4">
        <v>15.1</v>
      </c>
      <c r="BU19" s="5">
        <v>51.3</v>
      </c>
      <c r="BV19" s="6">
        <v>279</v>
      </c>
      <c r="BW19" s="19">
        <f>BV19-BT19</f>
        <v>263.89999999999998</v>
      </c>
      <c r="BY19" s="5"/>
      <c r="CA19" s="6">
        <v>0.45</v>
      </c>
      <c r="CB19" s="4">
        <v>37.200000000000003</v>
      </c>
      <c r="CC19" s="5">
        <v>28.4</v>
      </c>
      <c r="CD19" s="6">
        <v>6.3</v>
      </c>
    </row>
    <row r="20" spans="1:82" x14ac:dyDescent="0.25">
      <c r="A20" s="14" t="s">
        <v>104</v>
      </c>
      <c r="B20" s="2">
        <v>2735</v>
      </c>
      <c r="C20" s="3">
        <v>1</v>
      </c>
      <c r="D20">
        <v>2</v>
      </c>
      <c r="E20">
        <v>5</v>
      </c>
      <c r="F20">
        <v>1</v>
      </c>
      <c r="G20">
        <v>1</v>
      </c>
      <c r="H20">
        <v>717</v>
      </c>
      <c r="I20">
        <v>1</v>
      </c>
      <c r="J20">
        <v>42</v>
      </c>
      <c r="K20">
        <v>2</v>
      </c>
      <c r="L20">
        <v>31.02</v>
      </c>
      <c r="M20">
        <v>1.1299999999999999</v>
      </c>
      <c r="N20">
        <v>1.6</v>
      </c>
      <c r="O20" t="s">
        <v>127</v>
      </c>
      <c r="P20">
        <v>69</v>
      </c>
      <c r="Q20">
        <v>1</v>
      </c>
      <c r="R20">
        <v>11</v>
      </c>
      <c r="S20">
        <v>30.93</v>
      </c>
      <c r="T20" s="15">
        <f t="shared" si="0"/>
        <v>0.14741500000000002</v>
      </c>
      <c r="U20" s="16">
        <f t="shared" si="1"/>
        <v>0.132745</v>
      </c>
      <c r="V20" s="17">
        <f t="shared" si="2"/>
        <v>0.12540999999999999</v>
      </c>
      <c r="W20" s="4">
        <v>0.09</v>
      </c>
      <c r="X20" s="5">
        <v>7.0000000000000007E-2</v>
      </c>
      <c r="Y20" s="6">
        <v>0.06</v>
      </c>
      <c r="Z20" s="19">
        <f t="shared" si="3"/>
        <v>-0.03</v>
      </c>
      <c r="AA20" s="4">
        <v>2.9</v>
      </c>
      <c r="AB20" s="5">
        <v>4.5</v>
      </c>
      <c r="AC20" s="6">
        <v>23.2</v>
      </c>
      <c r="AD20" s="19">
        <f t="shared" si="4"/>
        <v>20.3</v>
      </c>
      <c r="AE20" s="4">
        <v>24</v>
      </c>
      <c r="AF20" s="5">
        <v>25</v>
      </c>
      <c r="AG20" s="6">
        <v>32</v>
      </c>
      <c r="AH20" s="4">
        <v>148</v>
      </c>
      <c r="AI20" s="5">
        <v>150</v>
      </c>
      <c r="AJ20" s="6">
        <v>149</v>
      </c>
      <c r="AK20" s="19">
        <f t="shared" si="12"/>
        <v>1</v>
      </c>
      <c r="AL20" s="4">
        <v>2</v>
      </c>
      <c r="AM20" s="5">
        <v>2</v>
      </c>
      <c r="AN20" s="6">
        <v>2</v>
      </c>
      <c r="AO20" s="19">
        <f t="shared" si="13"/>
        <v>0</v>
      </c>
      <c r="AP20" s="4">
        <v>903</v>
      </c>
      <c r="AQ20" s="5">
        <v>1133</v>
      </c>
      <c r="AR20" s="6">
        <v>2494</v>
      </c>
      <c r="AS20" s="19">
        <f t="shared" si="14"/>
        <v>1591</v>
      </c>
      <c r="AT20" s="4">
        <v>948</v>
      </c>
      <c r="AU20" s="5">
        <v>1147</v>
      </c>
      <c r="AV20" s="6"/>
      <c r="AW20" s="4">
        <v>5</v>
      </c>
      <c r="AX20" s="5">
        <v>10</v>
      </c>
      <c r="AY20" s="6">
        <v>41</v>
      </c>
      <c r="AZ20" s="19">
        <f t="shared" si="15"/>
        <v>36</v>
      </c>
      <c r="BA20" s="4">
        <v>4</v>
      </c>
      <c r="BB20" s="5">
        <v>9</v>
      </c>
      <c r="BC20" s="6">
        <v>47</v>
      </c>
      <c r="BD20" s="19">
        <f t="shared" si="16"/>
        <v>43</v>
      </c>
      <c r="BE20" s="4">
        <v>4</v>
      </c>
      <c r="BF20" s="5">
        <v>4</v>
      </c>
      <c r="BG20" s="6">
        <v>4</v>
      </c>
      <c r="BH20" s="4">
        <v>1.1299999999999999</v>
      </c>
      <c r="BI20" s="5">
        <v>1.06</v>
      </c>
      <c r="BJ20" s="6">
        <v>1.35</v>
      </c>
      <c r="BK20" s="19">
        <f t="shared" si="17"/>
        <v>0.2200000000000002</v>
      </c>
      <c r="BL20" s="4">
        <v>3.13</v>
      </c>
      <c r="BM20" s="5">
        <v>2.76</v>
      </c>
      <c r="BN20" s="6">
        <v>3.68</v>
      </c>
      <c r="BO20" s="19">
        <f t="shared" si="18"/>
        <v>0.55000000000000027</v>
      </c>
      <c r="BP20" s="4">
        <v>2195</v>
      </c>
      <c r="BQ20" s="5">
        <v>1995</v>
      </c>
      <c r="BT20" s="4">
        <v>5.7</v>
      </c>
      <c r="BU20" s="5">
        <v>17.600000000000001</v>
      </c>
      <c r="BX20" s="4">
        <v>9.9</v>
      </c>
      <c r="BY20" s="5">
        <v>4.4000000000000004</v>
      </c>
      <c r="BZ20" s="19">
        <f>BY20-BX20</f>
        <v>-5.5</v>
      </c>
      <c r="CC20" s="5"/>
    </row>
    <row r="21" spans="1:82" x14ac:dyDescent="0.25">
      <c r="A21" s="14" t="s">
        <v>87</v>
      </c>
      <c r="B21" s="2">
        <v>999</v>
      </c>
      <c r="C21" s="3">
        <v>2</v>
      </c>
      <c r="D21">
        <v>1</v>
      </c>
      <c r="E21">
        <v>7</v>
      </c>
      <c r="F21">
        <v>1</v>
      </c>
      <c r="G21">
        <v>1</v>
      </c>
      <c r="H21">
        <v>719</v>
      </c>
      <c r="I21">
        <v>1</v>
      </c>
      <c r="J21">
        <v>73</v>
      </c>
      <c r="K21">
        <v>1</v>
      </c>
      <c r="L21">
        <v>24.6</v>
      </c>
      <c r="M21">
        <v>1.04</v>
      </c>
      <c r="N21">
        <v>1.99</v>
      </c>
      <c r="O21" t="s">
        <v>127</v>
      </c>
      <c r="P21">
        <v>66</v>
      </c>
      <c r="Q21">
        <v>1</v>
      </c>
      <c r="R21">
        <v>12</v>
      </c>
      <c r="S21">
        <v>30.42</v>
      </c>
      <c r="T21" s="15">
        <f t="shared" si="0"/>
        <v>0.7195450000000001</v>
      </c>
      <c r="U21" s="16">
        <f t="shared" si="1"/>
        <v>0.37480000000000002</v>
      </c>
      <c r="V21" s="17">
        <f t="shared" si="2"/>
        <v>0.98360500000000006</v>
      </c>
      <c r="W21" s="4">
        <v>0.87</v>
      </c>
      <c r="X21" s="5">
        <v>0.4</v>
      </c>
      <c r="Y21" s="6">
        <v>1.23</v>
      </c>
      <c r="Z21" s="19">
        <f t="shared" si="3"/>
        <v>0.36</v>
      </c>
      <c r="AA21" s="4">
        <v>2.6</v>
      </c>
      <c r="AB21" s="5">
        <v>5</v>
      </c>
      <c r="AC21" s="6">
        <v>18.899999999999999</v>
      </c>
      <c r="AD21" s="19">
        <f t="shared" si="4"/>
        <v>16.299999999999997</v>
      </c>
      <c r="AE21" s="4">
        <v>20</v>
      </c>
      <c r="AF21" s="5">
        <v>21</v>
      </c>
      <c r="AG21" s="6">
        <v>20</v>
      </c>
      <c r="AH21" s="4">
        <v>144</v>
      </c>
      <c r="AI21" s="5">
        <v>139</v>
      </c>
      <c r="AJ21" s="6">
        <v>148</v>
      </c>
      <c r="AK21" s="19">
        <f t="shared" si="12"/>
        <v>4</v>
      </c>
      <c r="AL21" s="4">
        <v>2</v>
      </c>
      <c r="AM21" s="5">
        <v>2</v>
      </c>
      <c r="AN21" s="6">
        <v>87</v>
      </c>
      <c r="AO21" s="19">
        <f t="shared" si="13"/>
        <v>85</v>
      </c>
      <c r="AP21" s="4">
        <v>58</v>
      </c>
      <c r="AQ21" s="5">
        <v>78</v>
      </c>
      <c r="AR21" s="6">
        <v>615</v>
      </c>
      <c r="AS21" s="19">
        <f t="shared" si="14"/>
        <v>557</v>
      </c>
      <c r="AU21" s="5"/>
      <c r="AV21" s="6"/>
      <c r="AW21" s="4">
        <v>5</v>
      </c>
      <c r="AX21" s="5">
        <v>13</v>
      </c>
      <c r="AY21" s="6">
        <v>140</v>
      </c>
      <c r="AZ21" s="19">
        <f t="shared" si="15"/>
        <v>135</v>
      </c>
      <c r="BA21" s="4">
        <v>4</v>
      </c>
      <c r="BB21" s="5">
        <v>26</v>
      </c>
      <c r="BC21" s="6">
        <v>222</v>
      </c>
      <c r="BD21" s="19">
        <f t="shared" si="16"/>
        <v>218</v>
      </c>
      <c r="BE21" s="4">
        <v>4</v>
      </c>
      <c r="BF21" s="5">
        <v>4</v>
      </c>
      <c r="BG21" s="6">
        <v>4</v>
      </c>
      <c r="BH21" s="4">
        <v>1.17</v>
      </c>
      <c r="BI21" s="5">
        <v>1.25</v>
      </c>
      <c r="BJ21" s="6">
        <v>1.03</v>
      </c>
      <c r="BK21" s="19">
        <f t="shared" si="17"/>
        <v>-0.1399999999999999</v>
      </c>
      <c r="BL21" s="4">
        <v>4.26</v>
      </c>
      <c r="BM21" s="5">
        <v>4.3499999999999996</v>
      </c>
      <c r="BN21" s="6">
        <v>6.68</v>
      </c>
      <c r="BO21" s="19">
        <f t="shared" si="18"/>
        <v>2.42</v>
      </c>
      <c r="BQ21" s="5"/>
      <c r="BR21" s="6">
        <v>3325</v>
      </c>
      <c r="BU21" s="5"/>
      <c r="BV21" s="6">
        <v>441.1</v>
      </c>
      <c r="BX21" s="4">
        <v>13.4</v>
      </c>
      <c r="BY21" s="5">
        <v>0.8</v>
      </c>
      <c r="BZ21" s="19">
        <f>BY21-BX21</f>
        <v>-12.6</v>
      </c>
      <c r="CC21" s="5"/>
    </row>
    <row r="22" spans="1:82" x14ac:dyDescent="0.25">
      <c r="A22" s="14" t="s">
        <v>83</v>
      </c>
      <c r="B22" s="2">
        <v>898</v>
      </c>
      <c r="C22" s="3">
        <v>2</v>
      </c>
      <c r="D22">
        <v>2</v>
      </c>
      <c r="E22">
        <v>2</v>
      </c>
      <c r="F22">
        <v>1</v>
      </c>
      <c r="G22">
        <v>1</v>
      </c>
      <c r="H22">
        <v>816</v>
      </c>
      <c r="I22">
        <v>1</v>
      </c>
      <c r="J22">
        <v>43</v>
      </c>
      <c r="K22">
        <v>2</v>
      </c>
      <c r="L22">
        <v>45.2</v>
      </c>
      <c r="M22">
        <v>1.44</v>
      </c>
      <c r="N22">
        <v>1.57</v>
      </c>
      <c r="O22" t="s">
        <v>127</v>
      </c>
      <c r="P22">
        <v>54</v>
      </c>
      <c r="Q22">
        <v>1</v>
      </c>
      <c r="R22">
        <v>7</v>
      </c>
      <c r="S22">
        <v>25.69</v>
      </c>
      <c r="T22" s="15">
        <f t="shared" ref="T22:U26" si="19">(0.7335*W22) + 0.0814</f>
        <v>0.16208500000000001</v>
      </c>
      <c r="U22" s="16">
        <f t="shared" si="19"/>
        <v>0.176755</v>
      </c>
      <c r="V22" s="17">
        <f>'Peak AST &gt;1000 UL'!T2</f>
        <v>0.16942000000000002</v>
      </c>
      <c r="W22" s="4">
        <v>0.11</v>
      </c>
      <c r="X22" s="5">
        <v>0.13</v>
      </c>
      <c r="Y22" s="6">
        <v>0.75</v>
      </c>
      <c r="Z22" s="19">
        <f t="shared" si="3"/>
        <v>0.64</v>
      </c>
      <c r="AA22" s="4">
        <v>3.5</v>
      </c>
      <c r="AB22" s="5">
        <v>3.8</v>
      </c>
      <c r="AC22" s="6">
        <v>12.8</v>
      </c>
      <c r="AD22" s="19">
        <f t="shared" si="4"/>
        <v>9.3000000000000007</v>
      </c>
      <c r="AE22" s="4">
        <v>20</v>
      </c>
      <c r="AF22" s="5">
        <v>23</v>
      </c>
      <c r="AG22" s="6">
        <v>34</v>
      </c>
      <c r="AH22" s="4">
        <v>150</v>
      </c>
      <c r="AI22" s="5">
        <v>150</v>
      </c>
      <c r="AJ22" s="6">
        <v>162</v>
      </c>
      <c r="AK22" s="19">
        <f t="shared" si="12"/>
        <v>12</v>
      </c>
      <c r="AL22" s="4">
        <v>2</v>
      </c>
      <c r="AM22" s="5">
        <v>2</v>
      </c>
      <c r="AN22" s="6">
        <v>2</v>
      </c>
      <c r="AO22" s="19">
        <f t="shared" si="13"/>
        <v>0</v>
      </c>
      <c r="AP22" s="4">
        <v>2315</v>
      </c>
      <c r="AQ22" s="5">
        <v>2536</v>
      </c>
      <c r="AR22" s="6">
        <v>1162</v>
      </c>
      <c r="AS22" s="19">
        <f t="shared" si="14"/>
        <v>-1153</v>
      </c>
      <c r="AT22" s="4">
        <v>1935</v>
      </c>
      <c r="AU22" s="5"/>
      <c r="AV22" s="6"/>
      <c r="AW22" s="4">
        <v>6</v>
      </c>
      <c r="AX22" s="5">
        <v>6</v>
      </c>
      <c r="AY22" s="6">
        <v>25</v>
      </c>
      <c r="AZ22" s="19">
        <f t="shared" si="15"/>
        <v>19</v>
      </c>
      <c r="BA22" s="4">
        <v>9</v>
      </c>
      <c r="BB22" s="5">
        <v>8</v>
      </c>
      <c r="BC22" s="6">
        <v>48</v>
      </c>
      <c r="BD22" s="19">
        <f t="shared" si="16"/>
        <v>39</v>
      </c>
      <c r="BE22" s="4">
        <v>4</v>
      </c>
      <c r="BF22" s="5">
        <v>4</v>
      </c>
      <c r="BG22" s="6">
        <v>4</v>
      </c>
      <c r="BH22" s="4">
        <v>1.23</v>
      </c>
      <c r="BI22" s="5">
        <v>1.1100000000000001</v>
      </c>
      <c r="BJ22" s="6">
        <v>0.6</v>
      </c>
      <c r="BK22" s="19">
        <f t="shared" si="17"/>
        <v>-0.63</v>
      </c>
      <c r="BL22" s="4">
        <v>5.22</v>
      </c>
      <c r="BM22" s="5">
        <v>6.51</v>
      </c>
      <c r="BN22" s="6">
        <v>4.5599999999999996</v>
      </c>
      <c r="BO22" s="19">
        <f t="shared" si="18"/>
        <v>-0.66000000000000014</v>
      </c>
      <c r="BP22" s="4">
        <v>1995</v>
      </c>
      <c r="BQ22" s="5">
        <v>3325</v>
      </c>
      <c r="BT22" s="4">
        <v>4.4000000000000004</v>
      </c>
      <c r="BU22" s="5">
        <v>11.4</v>
      </c>
      <c r="BY22" s="5"/>
      <c r="CA22" s="6">
        <v>0.5</v>
      </c>
      <c r="CB22" s="4">
        <v>21.8</v>
      </c>
      <c r="CC22" s="5">
        <v>26.4</v>
      </c>
      <c r="CD22" s="6">
        <v>26.9</v>
      </c>
    </row>
    <row r="23" spans="1:82" x14ac:dyDescent="0.25">
      <c r="A23" s="14" t="s">
        <v>86</v>
      </c>
      <c r="B23" s="2">
        <v>937</v>
      </c>
      <c r="C23" s="3">
        <v>1</v>
      </c>
      <c r="D23">
        <v>1</v>
      </c>
      <c r="E23">
        <v>2</v>
      </c>
      <c r="F23">
        <v>1</v>
      </c>
      <c r="G23">
        <v>1</v>
      </c>
      <c r="H23">
        <v>821</v>
      </c>
      <c r="I23">
        <v>1</v>
      </c>
      <c r="J23">
        <v>55</v>
      </c>
      <c r="K23">
        <v>1</v>
      </c>
      <c r="L23">
        <v>34.29</v>
      </c>
      <c r="N23">
        <v>1.52</v>
      </c>
      <c r="O23" t="s">
        <v>128</v>
      </c>
      <c r="P23">
        <v>65</v>
      </c>
      <c r="Q23">
        <v>1</v>
      </c>
      <c r="R23">
        <v>13</v>
      </c>
      <c r="S23">
        <v>36.42</v>
      </c>
      <c r="T23" s="15">
        <f t="shared" si="19"/>
        <v>0.23543500000000001</v>
      </c>
      <c r="U23" s="16">
        <f t="shared" si="19"/>
        <v>0.23543500000000001</v>
      </c>
      <c r="V23" s="17">
        <f>(0.7335*Y23) + 0.0814</f>
        <v>0.77089000000000008</v>
      </c>
      <c r="W23" s="4">
        <v>0.21</v>
      </c>
      <c r="X23" s="5">
        <v>0.21</v>
      </c>
      <c r="Y23" s="6">
        <v>0.94</v>
      </c>
      <c r="Z23" s="19">
        <f t="shared" si="3"/>
        <v>0.73</v>
      </c>
      <c r="AA23" s="4">
        <v>2.6</v>
      </c>
      <c r="AB23" s="5">
        <v>3.4</v>
      </c>
      <c r="AC23" s="6">
        <v>15.6</v>
      </c>
      <c r="AD23" s="19">
        <f t="shared" si="4"/>
        <v>13</v>
      </c>
      <c r="AE23" s="4">
        <v>34</v>
      </c>
      <c r="AF23" s="5">
        <v>34</v>
      </c>
      <c r="AG23" s="6">
        <v>31</v>
      </c>
      <c r="AH23" s="4">
        <v>148</v>
      </c>
      <c r="AI23" s="5">
        <v>148</v>
      </c>
      <c r="AJ23" s="6">
        <v>154</v>
      </c>
      <c r="AK23" s="19">
        <f t="shared" si="12"/>
        <v>6</v>
      </c>
      <c r="AL23" s="4">
        <v>2</v>
      </c>
      <c r="AM23" s="5">
        <v>2</v>
      </c>
      <c r="AN23" s="6">
        <v>121</v>
      </c>
      <c r="AO23" s="19">
        <f t="shared" si="13"/>
        <v>119</v>
      </c>
      <c r="AP23" s="4">
        <v>269</v>
      </c>
      <c r="AQ23" s="5">
        <v>297</v>
      </c>
      <c r="AR23" s="6">
        <v>610</v>
      </c>
      <c r="AS23" s="19">
        <f t="shared" si="14"/>
        <v>341</v>
      </c>
      <c r="AU23" s="5"/>
      <c r="AV23" s="6"/>
      <c r="AW23" s="4">
        <v>9</v>
      </c>
      <c r="AX23" s="5">
        <v>9</v>
      </c>
      <c r="AY23" s="6">
        <v>117</v>
      </c>
      <c r="AZ23" s="19">
        <f t="shared" si="15"/>
        <v>108</v>
      </c>
      <c r="BA23" s="4">
        <v>5</v>
      </c>
      <c r="BB23" s="5">
        <v>7</v>
      </c>
      <c r="BC23" s="6">
        <v>286</v>
      </c>
      <c r="BD23" s="19">
        <f t="shared" si="16"/>
        <v>281</v>
      </c>
      <c r="BE23" s="4">
        <v>4</v>
      </c>
      <c r="BF23" s="5">
        <v>4</v>
      </c>
      <c r="BG23" s="6">
        <v>4</v>
      </c>
      <c r="BH23" s="4">
        <v>1.39</v>
      </c>
      <c r="BI23" s="5">
        <v>1.58</v>
      </c>
      <c r="BJ23" s="6">
        <v>1.26</v>
      </c>
      <c r="BK23" s="19">
        <f t="shared" si="17"/>
        <v>-0.12999999999999989</v>
      </c>
      <c r="BL23" s="4">
        <v>3.94</v>
      </c>
      <c r="BM23" s="5">
        <v>4.1399999999999997</v>
      </c>
      <c r="BN23" s="6">
        <v>4.8499999999999996</v>
      </c>
      <c r="BO23" s="19">
        <f t="shared" si="18"/>
        <v>0.9099999999999997</v>
      </c>
      <c r="BQ23" s="5"/>
      <c r="BU23" s="5"/>
      <c r="BX23" s="4">
        <v>10.1</v>
      </c>
      <c r="BY23" s="5">
        <v>1.1000000000000001</v>
      </c>
      <c r="BZ23" s="19">
        <f>BY23-BX23</f>
        <v>-9</v>
      </c>
      <c r="CC23" s="5"/>
    </row>
    <row r="24" spans="1:82" x14ac:dyDescent="0.25">
      <c r="A24" s="14" t="s">
        <v>89</v>
      </c>
      <c r="B24" s="2">
        <v>1062</v>
      </c>
      <c r="C24" s="3">
        <v>2</v>
      </c>
      <c r="D24">
        <v>2</v>
      </c>
      <c r="E24">
        <v>5</v>
      </c>
      <c r="F24">
        <v>1</v>
      </c>
      <c r="G24">
        <v>1</v>
      </c>
      <c r="H24">
        <v>822</v>
      </c>
      <c r="I24">
        <v>1</v>
      </c>
      <c r="J24">
        <v>64</v>
      </c>
      <c r="K24">
        <v>1</v>
      </c>
      <c r="L24">
        <v>24.42</v>
      </c>
      <c r="M24">
        <v>0.85</v>
      </c>
      <c r="N24">
        <v>1.69</v>
      </c>
      <c r="O24" t="s">
        <v>125</v>
      </c>
      <c r="P24">
        <v>64</v>
      </c>
      <c r="Q24">
        <v>1</v>
      </c>
      <c r="R24">
        <v>8</v>
      </c>
      <c r="S24">
        <v>28.98</v>
      </c>
      <c r="T24" s="15">
        <f t="shared" si="19"/>
        <v>0.26477499999999998</v>
      </c>
      <c r="U24" s="16">
        <f t="shared" si="19"/>
        <v>0.28678000000000003</v>
      </c>
      <c r="V24" s="17">
        <f>(0.7335*Y24) + 0.0814</f>
        <v>0.103405</v>
      </c>
      <c r="W24" s="4">
        <v>0.25</v>
      </c>
      <c r="X24" s="5">
        <v>0.28000000000000003</v>
      </c>
      <c r="Y24" s="6">
        <v>0.03</v>
      </c>
      <c r="Z24" s="19">
        <f t="shared" si="3"/>
        <v>-0.22</v>
      </c>
      <c r="AA24" s="4">
        <v>3.4</v>
      </c>
      <c r="AB24" s="5">
        <v>6.1</v>
      </c>
      <c r="AC24" s="6">
        <v>36.4</v>
      </c>
      <c r="AD24" s="19">
        <f t="shared" si="4"/>
        <v>33</v>
      </c>
      <c r="AE24" s="4">
        <v>18</v>
      </c>
      <c r="AF24" s="5">
        <v>20</v>
      </c>
      <c r="AG24" s="6">
        <v>35</v>
      </c>
      <c r="AH24" s="4">
        <v>144</v>
      </c>
      <c r="AI24" s="5">
        <v>142</v>
      </c>
      <c r="AJ24" s="6">
        <v>156</v>
      </c>
      <c r="AK24" s="19">
        <f t="shared" si="12"/>
        <v>12</v>
      </c>
      <c r="AL24" s="4">
        <v>3</v>
      </c>
      <c r="AM24" s="5">
        <v>2</v>
      </c>
      <c r="AN24" s="6">
        <v>2</v>
      </c>
      <c r="AO24" s="19">
        <f t="shared" si="13"/>
        <v>-1</v>
      </c>
      <c r="AP24" s="4">
        <v>208</v>
      </c>
      <c r="AQ24" s="5">
        <v>228</v>
      </c>
      <c r="AR24" s="6">
        <v>764</v>
      </c>
      <c r="AS24" s="19">
        <f t="shared" si="14"/>
        <v>556</v>
      </c>
      <c r="AU24" s="5"/>
      <c r="AV24" s="6"/>
      <c r="AW24" s="4">
        <v>10</v>
      </c>
      <c r="AX24" s="5">
        <v>22</v>
      </c>
      <c r="AY24" s="6">
        <v>83</v>
      </c>
      <c r="AZ24" s="19">
        <f t="shared" si="15"/>
        <v>73</v>
      </c>
      <c r="BA24" s="4">
        <v>11</v>
      </c>
      <c r="BB24" s="5">
        <v>27</v>
      </c>
      <c r="BC24" s="6">
        <v>78</v>
      </c>
      <c r="BD24" s="19">
        <f t="shared" si="16"/>
        <v>67</v>
      </c>
      <c r="BE24" s="4">
        <v>4</v>
      </c>
      <c r="BF24" s="5">
        <v>4</v>
      </c>
      <c r="BG24" s="6">
        <v>4</v>
      </c>
      <c r="BH24" s="4">
        <v>1.22</v>
      </c>
      <c r="BI24" s="5">
        <v>1.1000000000000001</v>
      </c>
      <c r="BJ24" s="6">
        <v>1.1599999999999999</v>
      </c>
      <c r="BK24" s="19">
        <f t="shared" si="17"/>
        <v>-6.0000000000000053E-2</v>
      </c>
      <c r="BL24" s="4">
        <v>6.07</v>
      </c>
      <c r="BM24" s="5">
        <v>6.88</v>
      </c>
      <c r="BN24" s="6">
        <v>8.17</v>
      </c>
      <c r="BO24" s="19">
        <f t="shared" si="18"/>
        <v>2.0999999999999996</v>
      </c>
      <c r="BQ24" s="5"/>
      <c r="BU24" s="5"/>
      <c r="BX24" s="4">
        <v>8.6</v>
      </c>
      <c r="BY24" s="5">
        <v>1.1000000000000001</v>
      </c>
      <c r="BZ24" s="19">
        <f>BY24-BX24</f>
        <v>-7.5</v>
      </c>
      <c r="CA24" s="6">
        <v>0.4</v>
      </c>
      <c r="CB24" s="4">
        <v>26.9</v>
      </c>
      <c r="CC24" s="5">
        <v>27.7</v>
      </c>
      <c r="CD24" s="6">
        <v>3.7</v>
      </c>
    </row>
    <row r="25" spans="1:82" x14ac:dyDescent="0.25">
      <c r="A25" s="14" t="s">
        <v>90</v>
      </c>
      <c r="B25" s="2">
        <v>1174</v>
      </c>
      <c r="C25" s="3">
        <v>1</v>
      </c>
      <c r="D25">
        <v>1</v>
      </c>
      <c r="E25">
        <v>19</v>
      </c>
      <c r="F25">
        <v>1</v>
      </c>
      <c r="G25">
        <v>1</v>
      </c>
      <c r="H25">
        <v>1242</v>
      </c>
      <c r="I25">
        <v>1</v>
      </c>
      <c r="J25">
        <v>56</v>
      </c>
      <c r="K25">
        <v>1</v>
      </c>
      <c r="L25">
        <v>43</v>
      </c>
      <c r="N25">
        <v>1.93</v>
      </c>
      <c r="O25" t="s">
        <v>128</v>
      </c>
      <c r="P25">
        <v>72</v>
      </c>
      <c r="Q25">
        <v>2</v>
      </c>
      <c r="R25">
        <v>10</v>
      </c>
      <c r="S25">
        <v>24.92</v>
      </c>
      <c r="T25" s="15">
        <f t="shared" si="19"/>
        <v>0.27944500000000005</v>
      </c>
      <c r="U25" s="16">
        <f t="shared" si="19"/>
        <v>0.19875999999999999</v>
      </c>
      <c r="V25" s="17">
        <f>(0.7335*Y25) + 0.0814</f>
        <v>1.03495</v>
      </c>
      <c r="W25" s="4">
        <v>0.27</v>
      </c>
      <c r="X25" s="5">
        <v>0.16</v>
      </c>
      <c r="Y25" s="6">
        <v>1.3</v>
      </c>
      <c r="Z25" s="19">
        <f t="shared" si="3"/>
        <v>1.03</v>
      </c>
      <c r="AA25" s="4">
        <v>5.4</v>
      </c>
      <c r="AB25" s="5">
        <v>6.7</v>
      </c>
      <c r="AC25" s="6">
        <v>27.8</v>
      </c>
      <c r="AD25" s="19">
        <f t="shared" si="4"/>
        <v>22.4</v>
      </c>
      <c r="AE25" s="4">
        <v>125</v>
      </c>
      <c r="AF25" s="5">
        <v>128</v>
      </c>
      <c r="AG25" s="6">
        <v>88</v>
      </c>
      <c r="AH25" s="4">
        <v>142</v>
      </c>
      <c r="AI25" s="5">
        <v>140</v>
      </c>
      <c r="AJ25" s="6">
        <v>146</v>
      </c>
      <c r="AK25" s="19">
        <f t="shared" si="12"/>
        <v>4</v>
      </c>
      <c r="AL25" s="4">
        <v>3</v>
      </c>
      <c r="AM25" s="5">
        <v>4</v>
      </c>
      <c r="AN25" s="6">
        <v>35</v>
      </c>
      <c r="AO25" s="19">
        <f t="shared" si="13"/>
        <v>32</v>
      </c>
      <c r="AP25" s="4">
        <v>185</v>
      </c>
      <c r="AQ25" s="5">
        <v>242</v>
      </c>
      <c r="AR25" s="6">
        <v>2853</v>
      </c>
      <c r="AS25" s="19">
        <f t="shared" si="14"/>
        <v>2668</v>
      </c>
      <c r="AU25" s="5"/>
      <c r="AV25" s="6"/>
      <c r="AW25" s="4">
        <v>5</v>
      </c>
      <c r="AX25" s="5">
        <v>12</v>
      </c>
      <c r="AY25" s="6">
        <v>322</v>
      </c>
      <c r="AZ25" s="19">
        <f t="shared" si="15"/>
        <v>317</v>
      </c>
      <c r="BA25" s="4">
        <v>7</v>
      </c>
      <c r="BB25" s="5">
        <v>19</v>
      </c>
      <c r="BC25" s="6">
        <v>125</v>
      </c>
      <c r="BD25" s="19">
        <f t="shared" si="16"/>
        <v>118</v>
      </c>
      <c r="BE25" s="4">
        <v>4</v>
      </c>
      <c r="BF25" s="5">
        <v>4</v>
      </c>
      <c r="BG25" s="6">
        <v>4</v>
      </c>
      <c r="BH25" s="4">
        <v>0.5</v>
      </c>
      <c r="BI25" s="5">
        <v>1.24</v>
      </c>
      <c r="BJ25" s="6">
        <v>1.18</v>
      </c>
      <c r="BK25" s="19">
        <f t="shared" si="17"/>
        <v>0.67999999999999994</v>
      </c>
      <c r="BL25" s="4">
        <v>6.1</v>
      </c>
      <c r="BM25" s="5">
        <v>6.32</v>
      </c>
      <c r="BN25" s="6">
        <v>10.36</v>
      </c>
      <c r="BO25" s="19">
        <f t="shared" si="18"/>
        <v>4.26</v>
      </c>
      <c r="BP25" s="4">
        <v>1090</v>
      </c>
      <c r="BQ25" s="5">
        <v>1509</v>
      </c>
      <c r="BR25" s="6">
        <v>3325</v>
      </c>
      <c r="BS25" s="19">
        <f>BR25-BP25</f>
        <v>2235</v>
      </c>
      <c r="BT25" s="4">
        <v>24</v>
      </c>
      <c r="BU25" s="5">
        <v>59.9</v>
      </c>
      <c r="BV25" s="6">
        <v>523.9</v>
      </c>
      <c r="BW25" s="19">
        <f>BV25-BT25</f>
        <v>499.9</v>
      </c>
      <c r="BX25" s="4">
        <v>9.7100000000000009</v>
      </c>
      <c r="BY25" s="5">
        <v>1.17</v>
      </c>
      <c r="BZ25" s="19">
        <f>BY25-BX25</f>
        <v>-8.5400000000000009</v>
      </c>
      <c r="CA25" s="6">
        <v>0.7</v>
      </c>
      <c r="CB25" s="4">
        <v>15.7</v>
      </c>
      <c r="CC25" s="5">
        <v>1.5</v>
      </c>
      <c r="CD25" s="6">
        <v>16.2</v>
      </c>
    </row>
    <row r="26" spans="1:82" x14ac:dyDescent="0.25">
      <c r="A26" s="14" t="s">
        <v>107</v>
      </c>
      <c r="B26" s="2">
        <v>8822</v>
      </c>
      <c r="C26" s="3">
        <v>1</v>
      </c>
      <c r="D26">
        <v>1</v>
      </c>
      <c r="E26">
        <v>4</v>
      </c>
      <c r="F26">
        <v>1</v>
      </c>
      <c r="G26">
        <v>1</v>
      </c>
      <c r="H26">
        <v>1388</v>
      </c>
      <c r="I26">
        <v>1</v>
      </c>
      <c r="J26">
        <v>52</v>
      </c>
      <c r="K26">
        <v>2</v>
      </c>
      <c r="L26">
        <v>34.049999999999997</v>
      </c>
      <c r="M26">
        <v>1.74</v>
      </c>
      <c r="N26">
        <v>1.53</v>
      </c>
      <c r="O26" t="s">
        <v>125</v>
      </c>
      <c r="P26">
        <v>67</v>
      </c>
      <c r="Q26">
        <v>2</v>
      </c>
      <c r="R26">
        <v>14</v>
      </c>
      <c r="S26">
        <v>26.3</v>
      </c>
      <c r="T26" s="15">
        <f t="shared" si="19"/>
        <v>0.44081500000000007</v>
      </c>
      <c r="U26" s="16">
        <f t="shared" si="19"/>
        <v>0.34545999999999999</v>
      </c>
      <c r="V26" s="17">
        <f>(0.7335*Y26) + 0.0814</f>
        <v>1.47505</v>
      </c>
      <c r="W26" s="4">
        <v>0.49</v>
      </c>
      <c r="X26" s="5">
        <v>0.36</v>
      </c>
      <c r="Y26" s="6">
        <v>1.9</v>
      </c>
      <c r="Z26" s="19">
        <f t="shared" si="3"/>
        <v>1.41</v>
      </c>
      <c r="AA26" s="4">
        <v>2.1</v>
      </c>
      <c r="AB26" s="5">
        <v>3.6</v>
      </c>
      <c r="AC26" s="6">
        <v>25.5</v>
      </c>
      <c r="AD26" s="19">
        <f t="shared" si="4"/>
        <v>23.4</v>
      </c>
      <c r="AE26" s="4">
        <v>17</v>
      </c>
      <c r="AF26" s="5">
        <v>17</v>
      </c>
      <c r="AG26" s="6">
        <v>28</v>
      </c>
      <c r="AH26" s="4">
        <v>144</v>
      </c>
      <c r="AI26" s="5">
        <v>145</v>
      </c>
      <c r="AJ26" s="6">
        <v>158</v>
      </c>
      <c r="AK26" s="19">
        <f t="shared" si="12"/>
        <v>14</v>
      </c>
      <c r="AL26" s="4">
        <v>2</v>
      </c>
      <c r="AM26" s="5">
        <v>2</v>
      </c>
      <c r="AN26" s="6">
        <v>2</v>
      </c>
      <c r="AO26" s="19">
        <f t="shared" si="13"/>
        <v>0</v>
      </c>
      <c r="AP26" s="4">
        <v>126</v>
      </c>
      <c r="AQ26" s="5">
        <v>147</v>
      </c>
      <c r="AR26" s="6">
        <v>340</v>
      </c>
      <c r="AS26" s="19">
        <f t="shared" si="14"/>
        <v>214</v>
      </c>
      <c r="AU26" s="5">
        <v>237</v>
      </c>
      <c r="AV26" s="6">
        <v>782</v>
      </c>
      <c r="AW26" s="4">
        <v>5</v>
      </c>
      <c r="AX26" s="5">
        <v>8</v>
      </c>
      <c r="AY26" s="6">
        <v>82</v>
      </c>
      <c r="AZ26" s="19">
        <f t="shared" si="15"/>
        <v>77</v>
      </c>
      <c r="BA26" s="4">
        <v>4</v>
      </c>
      <c r="BB26" s="5">
        <v>12</v>
      </c>
      <c r="BC26" s="6">
        <v>130</v>
      </c>
      <c r="BD26" s="19">
        <f t="shared" si="16"/>
        <v>126</v>
      </c>
      <c r="BE26" s="4">
        <v>4</v>
      </c>
      <c r="BF26" s="5">
        <v>4</v>
      </c>
      <c r="BG26" s="6">
        <v>4</v>
      </c>
      <c r="BH26" s="4">
        <v>0.7</v>
      </c>
      <c r="BI26" s="5">
        <v>0.66</v>
      </c>
      <c r="BJ26" s="6">
        <v>0.87</v>
      </c>
      <c r="BK26" s="19">
        <f t="shared" si="17"/>
        <v>0.17000000000000004</v>
      </c>
      <c r="BL26" s="4">
        <v>3.65</v>
      </c>
      <c r="BM26" s="5">
        <v>3.71</v>
      </c>
      <c r="BN26" s="6">
        <v>6.24</v>
      </c>
      <c r="BO26" s="19">
        <f t="shared" si="18"/>
        <v>2.5900000000000003</v>
      </c>
      <c r="BP26" s="4">
        <v>534</v>
      </c>
      <c r="BQ26" s="5">
        <v>708</v>
      </c>
      <c r="BR26" s="6">
        <v>1684</v>
      </c>
      <c r="BS26" s="19">
        <f>BR26-BP26</f>
        <v>1150</v>
      </c>
      <c r="BT26" s="4">
        <v>2.6</v>
      </c>
      <c r="BU26" s="5">
        <v>12.9</v>
      </c>
      <c r="BV26" s="6">
        <v>385.5</v>
      </c>
      <c r="BW26" s="19">
        <f>BV26-BT26</f>
        <v>382.9</v>
      </c>
      <c r="BY26" s="5"/>
      <c r="CA26" s="6">
        <v>1.3</v>
      </c>
      <c r="CB26" s="4">
        <v>35.299999999999997</v>
      </c>
      <c r="CC26" s="5">
        <v>27.4</v>
      </c>
      <c r="CD26" s="6">
        <v>4.8</v>
      </c>
    </row>
    <row r="27" spans="1:82" x14ac:dyDescent="0.25">
      <c r="Y27" s="6"/>
      <c r="AC27" s="6"/>
      <c r="AF27" s="5"/>
      <c r="AG27" s="6"/>
      <c r="AI27" s="5"/>
      <c r="AJ27" s="6"/>
      <c r="AM27" s="5"/>
      <c r="AN27" s="6"/>
      <c r="AQ27" s="5"/>
      <c r="AR27" s="6"/>
      <c r="AU27" s="5"/>
      <c r="AV27" s="6"/>
      <c r="AX27" s="5"/>
      <c r="AY27" s="6"/>
      <c r="BB27" s="5"/>
      <c r="BF27" s="5"/>
      <c r="BI27" s="5"/>
      <c r="BM27" s="5"/>
      <c r="BQ27" s="5"/>
      <c r="BU27" s="5"/>
      <c r="BY27" s="5"/>
      <c r="CC27" s="5"/>
    </row>
    <row r="28" spans="1:82" x14ac:dyDescent="0.25">
      <c r="Y28" s="6"/>
      <c r="AC28" s="6"/>
      <c r="AF28" s="5"/>
      <c r="AG28" s="6"/>
      <c r="AI28" s="5"/>
      <c r="AJ28" s="6"/>
      <c r="AM28" s="5"/>
      <c r="AN28" s="6"/>
      <c r="AQ28" s="5"/>
      <c r="AR28" s="6"/>
      <c r="AU28" s="5"/>
      <c r="AV28" s="6"/>
      <c r="AX28" s="5"/>
      <c r="AY28" s="6"/>
      <c r="BB28" s="5"/>
      <c r="BF28" s="5"/>
      <c r="BI28" s="5"/>
      <c r="BM28" s="5"/>
      <c r="BQ28" s="5"/>
      <c r="BU28" s="5"/>
      <c r="BY28" s="5"/>
      <c r="CC28" s="5"/>
    </row>
    <row r="29" spans="1:82" x14ac:dyDescent="0.25">
      <c r="Y29" s="6"/>
      <c r="AC29" s="6"/>
      <c r="AF29" s="5"/>
      <c r="AG29" s="6"/>
      <c r="AI29" s="5"/>
      <c r="AJ29" s="6"/>
      <c r="AM29" s="5"/>
      <c r="AN29" s="6"/>
      <c r="AQ29" s="5"/>
      <c r="AR29" s="6"/>
      <c r="AU29" s="5"/>
      <c r="AV29" s="6"/>
      <c r="AX29" s="5"/>
      <c r="AY29" s="6"/>
      <c r="BB29" s="5"/>
      <c r="BF29" s="5"/>
      <c r="BI29" s="5"/>
      <c r="BM29" s="5"/>
      <c r="BQ29" s="5"/>
      <c r="BU29" s="5"/>
      <c r="BY29" s="5"/>
      <c r="CC29" s="5"/>
    </row>
    <row r="30" spans="1:82" x14ac:dyDescent="0.25">
      <c r="Y30" s="6"/>
      <c r="AC30" s="6"/>
      <c r="AF30" s="5"/>
      <c r="AG30" s="6"/>
      <c r="AI30" s="5"/>
      <c r="AJ30" s="6"/>
      <c r="AM30" s="5"/>
      <c r="AN30" s="6"/>
      <c r="AQ30" s="5"/>
      <c r="AR30" s="6"/>
      <c r="AU30" s="5"/>
      <c r="AV30" s="6"/>
      <c r="AX30" s="5"/>
      <c r="AY30" s="6"/>
      <c r="BB30" s="5"/>
      <c r="BF30" s="5"/>
      <c r="BI30" s="5"/>
      <c r="BM30" s="5"/>
      <c r="BQ30" s="5"/>
      <c r="BU30" s="5"/>
      <c r="BY30" s="5"/>
      <c r="CC30" s="5"/>
    </row>
    <row r="31" spans="1:82" x14ac:dyDescent="0.25">
      <c r="Y31" s="6"/>
      <c r="AC31" s="6"/>
      <c r="AF31" s="5"/>
      <c r="AG31" s="6"/>
      <c r="AI31" s="5"/>
      <c r="AJ31" s="6"/>
      <c r="AM31" s="5"/>
      <c r="AN31" s="6"/>
      <c r="AQ31" s="5"/>
      <c r="AR31" s="6"/>
      <c r="AU31" s="5"/>
      <c r="AV31" s="6"/>
      <c r="AX31" s="5"/>
      <c r="AY31" s="6"/>
      <c r="BB31" s="5"/>
      <c r="BF31" s="5"/>
      <c r="BI31" s="5"/>
      <c r="BM31" s="5"/>
      <c r="BQ31" s="5"/>
      <c r="BU31" s="5"/>
      <c r="BY31" s="5"/>
      <c r="CC31" s="5"/>
    </row>
    <row r="32" spans="1:82" x14ac:dyDescent="0.25">
      <c r="Y32" s="6"/>
      <c r="AC32" s="6"/>
      <c r="AF32" s="5"/>
      <c r="AG32" s="6"/>
      <c r="AI32" s="5"/>
      <c r="AJ32" s="6"/>
      <c r="AM32" s="5"/>
      <c r="AN32" s="6"/>
      <c r="AQ32" s="5"/>
      <c r="AR32" s="6"/>
      <c r="AU32" s="5"/>
      <c r="AV32" s="6"/>
      <c r="AX32" s="5"/>
      <c r="AY32" s="6"/>
      <c r="BB32" s="5"/>
      <c r="BF32" s="5"/>
      <c r="BI32" s="5"/>
      <c r="BM32" s="5"/>
      <c r="BQ32" s="5"/>
      <c r="BU32" s="5"/>
      <c r="BY32" s="5"/>
      <c r="CC32" s="5"/>
    </row>
    <row r="33" spans="25:81" x14ac:dyDescent="0.25">
      <c r="Y33" s="6"/>
      <c r="AC33" s="6"/>
      <c r="AF33" s="5"/>
      <c r="AG33" s="6"/>
      <c r="AI33" s="5"/>
      <c r="AJ33" s="6"/>
      <c r="AM33" s="5"/>
      <c r="AN33" s="6"/>
      <c r="AQ33" s="5"/>
      <c r="AR33" s="6"/>
      <c r="AU33" s="5"/>
      <c r="AV33" s="6"/>
      <c r="AX33" s="5"/>
      <c r="AY33" s="6"/>
      <c r="BB33" s="5"/>
      <c r="BF33" s="5"/>
      <c r="BI33" s="5"/>
      <c r="BM33" s="5"/>
      <c r="BQ33" s="5"/>
      <c r="BU33" s="5"/>
      <c r="BY33" s="5"/>
      <c r="CC33" s="5"/>
    </row>
    <row r="34" spans="25:81" x14ac:dyDescent="0.25">
      <c r="Y34" s="6"/>
      <c r="AC34" s="6"/>
      <c r="AF34" s="5"/>
      <c r="AG34" s="6"/>
      <c r="AI34" s="5"/>
      <c r="AJ34" s="6"/>
      <c r="AM34" s="5"/>
      <c r="AN34" s="6"/>
      <c r="AQ34" s="5"/>
      <c r="AR34" s="6"/>
      <c r="AU34" s="5"/>
      <c r="AV34" s="6"/>
      <c r="AX34" s="5"/>
      <c r="AY34" s="6"/>
      <c r="BB34" s="5"/>
      <c r="BF34" s="5"/>
      <c r="BI34" s="5"/>
      <c r="BM34" s="5"/>
      <c r="BQ34" s="5"/>
      <c r="BU34" s="5"/>
      <c r="BY34" s="5"/>
      <c r="CC34" s="5"/>
    </row>
    <row r="35" spans="25:81" x14ac:dyDescent="0.25">
      <c r="Y35" s="6"/>
      <c r="AC35" s="6"/>
      <c r="AF35" s="5"/>
      <c r="AG35" s="6"/>
      <c r="AI35" s="5"/>
      <c r="AJ35" s="6"/>
      <c r="AM35" s="5"/>
      <c r="AN35" s="6"/>
      <c r="AQ35" s="5"/>
      <c r="AR35" s="6"/>
      <c r="AU35" s="5"/>
      <c r="AV35" s="6"/>
      <c r="AX35" s="5"/>
      <c r="AY35" s="6"/>
      <c r="BB35" s="5"/>
      <c r="BF35" s="5"/>
      <c r="BI35" s="5"/>
      <c r="BM35" s="5"/>
      <c r="BQ35" s="5"/>
      <c r="BU35" s="5"/>
      <c r="BY35" s="5"/>
      <c r="CC35" s="5"/>
    </row>
    <row r="36" spans="25:81" x14ac:dyDescent="0.25">
      <c r="Y36" s="6"/>
      <c r="AC36" s="6"/>
      <c r="AF36" s="5"/>
      <c r="AG36" s="6"/>
      <c r="AI36" s="5"/>
      <c r="AJ36" s="6"/>
      <c r="AM36" s="5"/>
      <c r="AN36" s="6"/>
      <c r="AQ36" s="5"/>
      <c r="AR36" s="6"/>
      <c r="AU36" s="5"/>
      <c r="AV36" s="6"/>
      <c r="AX36" s="5"/>
      <c r="AY36" s="6"/>
      <c r="BB36" s="5"/>
      <c r="BF36" s="5"/>
      <c r="BI36" s="5"/>
      <c r="BM36" s="5"/>
      <c r="BQ36" s="5"/>
      <c r="BU36" s="5"/>
      <c r="BY36" s="5"/>
      <c r="CC36" s="5"/>
    </row>
    <row r="37" spans="25:81" x14ac:dyDescent="0.25">
      <c r="Y37" s="6"/>
      <c r="AC37" s="6"/>
      <c r="AF37" s="5"/>
      <c r="AG37" s="6"/>
      <c r="AI37" s="5"/>
      <c r="AJ37" s="6"/>
      <c r="AM37" s="5"/>
      <c r="AN37" s="6"/>
      <c r="AQ37" s="5"/>
      <c r="AR37" s="6"/>
      <c r="AU37" s="5"/>
      <c r="AV37" s="6"/>
      <c r="AX37" s="5"/>
      <c r="AY37" s="6"/>
      <c r="BB37" s="5"/>
      <c r="BF37" s="5"/>
      <c r="BI37" s="5"/>
      <c r="BM37" s="5"/>
      <c r="BQ37" s="5"/>
      <c r="BU37" s="5"/>
      <c r="BY37" s="5"/>
      <c r="CC37" s="5"/>
    </row>
    <row r="38" spans="25:81" x14ac:dyDescent="0.25">
      <c r="Y38" s="6"/>
      <c r="AC38" s="6"/>
      <c r="AF38" s="5"/>
      <c r="AG38" s="6"/>
      <c r="AI38" s="5"/>
      <c r="AJ38" s="6"/>
      <c r="AM38" s="5"/>
      <c r="AN38" s="6"/>
      <c r="AQ38" s="5"/>
      <c r="AR38" s="6"/>
      <c r="AU38" s="5"/>
      <c r="AV38" s="6"/>
      <c r="AX38" s="5"/>
      <c r="AY38" s="6"/>
      <c r="BB38" s="5"/>
      <c r="BF38" s="5"/>
      <c r="BI38" s="5"/>
      <c r="BM38" s="5"/>
      <c r="BQ38" s="5"/>
      <c r="BU38" s="5"/>
      <c r="BY38" s="5"/>
      <c r="CC38" s="5"/>
    </row>
    <row r="39" spans="25:81" x14ac:dyDescent="0.25">
      <c r="AF39" s="5"/>
      <c r="AI39" s="5"/>
      <c r="AM39" s="5"/>
      <c r="AQ39" s="5"/>
      <c r="AU39" s="5"/>
      <c r="AX39" s="5"/>
      <c r="BB39" s="5"/>
      <c r="BF39" s="5"/>
      <c r="BI39" s="5"/>
      <c r="BM39" s="5"/>
      <c r="BQ39" s="5"/>
      <c r="BU39" s="5"/>
      <c r="BY39" s="5"/>
      <c r="CC39" s="5"/>
    </row>
    <row r="40" spans="25:81" x14ac:dyDescent="0.25">
      <c r="AF40" s="5"/>
      <c r="AI40" s="5"/>
      <c r="AM40" s="5"/>
      <c r="AQ40" s="5"/>
      <c r="AU40" s="5"/>
      <c r="AX40" s="5"/>
      <c r="BB40" s="5"/>
      <c r="BF40" s="5"/>
      <c r="BI40" s="5"/>
      <c r="BM40" s="5"/>
      <c r="BQ40" s="5"/>
      <c r="BU40" s="5"/>
      <c r="BY40" s="5"/>
      <c r="CC40" s="5"/>
    </row>
    <row r="41" spans="25:81" x14ac:dyDescent="0.25">
      <c r="AF41" s="5"/>
      <c r="AI41" s="5"/>
      <c r="AM41" s="5"/>
      <c r="AQ41" s="5"/>
      <c r="AU41" s="5"/>
      <c r="AX41" s="5"/>
      <c r="BB41" s="5"/>
      <c r="BF41" s="5"/>
      <c r="BI41" s="5"/>
      <c r="BM41" s="5"/>
      <c r="BQ41" s="5"/>
      <c r="BU41" s="5"/>
      <c r="BY41" s="5"/>
      <c r="CC41" s="5"/>
    </row>
    <row r="42" spans="25:81" x14ac:dyDescent="0.25">
      <c r="AF42" s="5"/>
      <c r="AI42" s="5"/>
      <c r="AM42" s="5"/>
      <c r="AQ42" s="5"/>
      <c r="AU42" s="5"/>
      <c r="AX42" s="5"/>
      <c r="BB42" s="5"/>
      <c r="BF42" s="5"/>
      <c r="BI42" s="5"/>
      <c r="BM42" s="5"/>
      <c r="BQ42" s="5"/>
      <c r="BU42" s="5"/>
      <c r="BY42" s="5"/>
      <c r="CC42" s="5"/>
    </row>
    <row r="43" spans="25:81" x14ac:dyDescent="0.25">
      <c r="AF43" s="5"/>
      <c r="AI43" s="5"/>
      <c r="AM43" s="5"/>
      <c r="AQ43" s="5"/>
      <c r="AU43" s="5"/>
      <c r="AX43" s="5"/>
      <c r="BB43" s="5"/>
      <c r="BF43" s="5"/>
      <c r="BI43" s="5"/>
      <c r="BM43" s="5"/>
      <c r="BQ43" s="5"/>
      <c r="BU43" s="5"/>
      <c r="BY43" s="5"/>
      <c r="CC43" s="5"/>
    </row>
    <row r="44" spans="25:81" x14ac:dyDescent="0.25">
      <c r="AF44" s="5"/>
      <c r="AI44" s="5"/>
      <c r="AM44" s="5"/>
      <c r="AQ44" s="5"/>
      <c r="AU44" s="5"/>
      <c r="AX44" s="5"/>
      <c r="BB44" s="5"/>
      <c r="BF44" s="5"/>
      <c r="BI44" s="5"/>
      <c r="BM44" s="5"/>
      <c r="BQ44" s="5"/>
      <c r="BU44" s="5"/>
      <c r="BY44" s="5"/>
      <c r="CC44" s="5"/>
    </row>
    <row r="45" spans="25:81" x14ac:dyDescent="0.25">
      <c r="AF45" s="5"/>
      <c r="AI45" s="5"/>
      <c r="AM45" s="5"/>
      <c r="AQ45" s="5"/>
      <c r="AU45" s="5"/>
      <c r="AX45" s="5"/>
      <c r="BB45" s="5"/>
      <c r="BF45" s="5"/>
      <c r="BI45" s="5"/>
      <c r="BM45" s="5"/>
      <c r="BQ45" s="5"/>
      <c r="BU45" s="5"/>
      <c r="BY45" s="5"/>
      <c r="CC45" s="5"/>
    </row>
    <row r="46" spans="25:81" x14ac:dyDescent="0.25">
      <c r="AF46" s="5"/>
      <c r="AI46" s="5"/>
      <c r="AM46" s="5"/>
      <c r="AQ46" s="5"/>
      <c r="AU46" s="5"/>
      <c r="AX46" s="5"/>
      <c r="BB46" s="5"/>
      <c r="BF46" s="5"/>
      <c r="BI46" s="5"/>
      <c r="BM46" s="5"/>
      <c r="BQ46" s="5"/>
      <c r="BU46" s="5"/>
      <c r="BY46" s="5"/>
      <c r="CC46" s="5"/>
    </row>
    <row r="47" spans="25:81" x14ac:dyDescent="0.25">
      <c r="AF47" s="5"/>
      <c r="AI47" s="5"/>
      <c r="AM47" s="5"/>
      <c r="AQ47" s="5"/>
      <c r="AU47" s="5"/>
      <c r="AX47" s="5"/>
      <c r="BB47" s="5"/>
      <c r="BF47" s="5"/>
      <c r="BI47" s="5"/>
      <c r="BM47" s="5"/>
      <c r="BQ47" s="5"/>
      <c r="BU47" s="5"/>
      <c r="BY47" s="5"/>
      <c r="CC47" s="5"/>
    </row>
    <row r="48" spans="25:81" x14ac:dyDescent="0.25">
      <c r="AF48" s="5"/>
      <c r="AI48" s="5"/>
      <c r="AM48" s="5"/>
      <c r="AQ48" s="5"/>
      <c r="AU48" s="5"/>
      <c r="AX48" s="5"/>
      <c r="BB48" s="5"/>
      <c r="BF48" s="5"/>
      <c r="BI48" s="5"/>
      <c r="BM48" s="5"/>
      <c r="BQ48" s="5"/>
      <c r="BU48" s="5"/>
      <c r="BY48" s="5"/>
      <c r="CC48" s="5"/>
    </row>
    <row r="49" spans="32:81" x14ac:dyDescent="0.25">
      <c r="AF49" s="5"/>
      <c r="AI49" s="5"/>
      <c r="AM49" s="5"/>
      <c r="AQ49" s="5"/>
      <c r="AU49" s="5"/>
      <c r="AX49" s="5"/>
      <c r="BB49" s="5"/>
      <c r="BF49" s="5"/>
      <c r="BI49" s="5"/>
      <c r="BM49" s="5"/>
      <c r="BQ49" s="5"/>
      <c r="BU49" s="5"/>
      <c r="BY49" s="5"/>
      <c r="CC49" s="5"/>
    </row>
    <row r="50" spans="32:81" x14ac:dyDescent="0.25">
      <c r="AF50" s="5"/>
      <c r="AI50" s="5"/>
      <c r="AM50" s="5"/>
      <c r="AQ50" s="5"/>
      <c r="AU50" s="5"/>
      <c r="AX50" s="5"/>
      <c r="BB50" s="5"/>
      <c r="BF50" s="5"/>
      <c r="BI50" s="5"/>
      <c r="BM50" s="5"/>
      <c r="BQ50" s="5"/>
      <c r="BU50" s="5"/>
      <c r="BY50" s="5"/>
      <c r="CC50" s="5"/>
    </row>
    <row r="51" spans="32:81" x14ac:dyDescent="0.25">
      <c r="AF51" s="5"/>
      <c r="AI51" s="5"/>
      <c r="AM51" s="5"/>
      <c r="AQ51" s="5"/>
      <c r="AU51" s="5"/>
      <c r="AX51" s="5"/>
      <c r="BB51" s="5"/>
      <c r="BF51" s="5"/>
      <c r="BI51" s="5"/>
      <c r="BM51" s="5"/>
      <c r="BQ51" s="5"/>
      <c r="BU51" s="5"/>
      <c r="BY51" s="5"/>
      <c r="CC51" s="5"/>
    </row>
    <row r="52" spans="32:81" x14ac:dyDescent="0.25">
      <c r="AF52" s="5"/>
      <c r="AI52" s="5"/>
      <c r="AM52" s="5"/>
      <c r="AQ52" s="5"/>
      <c r="AU52" s="5"/>
      <c r="AX52" s="5"/>
      <c r="BB52" s="5"/>
      <c r="BF52" s="5"/>
      <c r="BI52" s="5"/>
      <c r="BM52" s="5"/>
      <c r="BQ52" s="5"/>
      <c r="BU52" s="5"/>
      <c r="BY52" s="5"/>
      <c r="CC52" s="5"/>
    </row>
    <row r="53" spans="32:81" x14ac:dyDescent="0.25">
      <c r="AF53" s="5"/>
      <c r="AI53" s="5"/>
      <c r="AM53" s="5"/>
      <c r="AQ53" s="5"/>
      <c r="AU53" s="5"/>
      <c r="AX53" s="5"/>
      <c r="BB53" s="5"/>
      <c r="BF53" s="5"/>
      <c r="BI53" s="5"/>
      <c r="BM53" s="5"/>
      <c r="BQ53" s="5"/>
      <c r="BU53" s="5"/>
      <c r="BY53" s="5"/>
      <c r="CC53" s="5"/>
    </row>
    <row r="54" spans="32:81" x14ac:dyDescent="0.25">
      <c r="AF54" s="5"/>
      <c r="AI54" s="5"/>
      <c r="AM54" s="5"/>
      <c r="AQ54" s="5"/>
      <c r="AU54" s="5"/>
      <c r="AX54" s="5"/>
      <c r="BB54" s="5"/>
      <c r="BF54" s="5"/>
      <c r="BI54" s="5"/>
      <c r="BM54" s="5"/>
      <c r="BQ54" s="5"/>
      <c r="BU54" s="5"/>
      <c r="BY54" s="5"/>
      <c r="CC54" s="5"/>
    </row>
    <row r="55" spans="32:81" x14ac:dyDescent="0.25">
      <c r="AF55" s="5"/>
      <c r="AI55" s="5"/>
      <c r="AM55" s="5"/>
      <c r="AQ55" s="5"/>
      <c r="AU55" s="5"/>
      <c r="AX55" s="5"/>
      <c r="BB55" s="5"/>
      <c r="BF55" s="5"/>
      <c r="BI55" s="5"/>
      <c r="BM55" s="5"/>
      <c r="BQ55" s="5"/>
      <c r="BU55" s="5"/>
      <c r="BY55" s="5"/>
      <c r="CC55" s="5"/>
    </row>
    <row r="56" spans="32:81" x14ac:dyDescent="0.25">
      <c r="AF56" s="5"/>
      <c r="AI56" s="5"/>
      <c r="AM56" s="5"/>
      <c r="AQ56" s="5"/>
      <c r="AU56" s="5"/>
      <c r="AX56" s="5"/>
      <c r="BB56" s="5"/>
      <c r="BF56" s="5"/>
      <c r="BI56" s="5"/>
      <c r="BM56" s="5"/>
      <c r="BQ56" s="5"/>
      <c r="BU56" s="5"/>
      <c r="BY56" s="5"/>
      <c r="CC56" s="5"/>
    </row>
    <row r="57" spans="32:81" x14ac:dyDescent="0.25">
      <c r="AF57" s="5"/>
      <c r="AI57" s="5"/>
      <c r="AM57" s="5"/>
      <c r="AQ57" s="5"/>
      <c r="AU57" s="5"/>
      <c r="AX57" s="5"/>
      <c r="BB57" s="5"/>
      <c r="BF57" s="5"/>
      <c r="BI57" s="5"/>
      <c r="BM57" s="5"/>
      <c r="BQ57" s="5"/>
      <c r="BU57" s="5"/>
      <c r="BY57" s="5"/>
      <c r="CC57" s="5"/>
    </row>
    <row r="58" spans="32:81" x14ac:dyDescent="0.25">
      <c r="AF58" s="5"/>
      <c r="AI58" s="5"/>
      <c r="AM58" s="5"/>
      <c r="AQ58" s="5"/>
      <c r="AU58" s="5"/>
      <c r="AX58" s="5"/>
      <c r="BB58" s="5"/>
      <c r="BF58" s="5"/>
      <c r="BI58" s="5"/>
      <c r="BM58" s="5"/>
      <c r="BQ58" s="5"/>
      <c r="BU58" s="5"/>
      <c r="BY58" s="5"/>
      <c r="CC58" s="5"/>
    </row>
    <row r="59" spans="32:81" x14ac:dyDescent="0.25">
      <c r="AF59" s="5"/>
      <c r="AI59" s="5"/>
      <c r="AM59" s="5"/>
      <c r="AQ59" s="5"/>
      <c r="AU59" s="5"/>
      <c r="AX59" s="5"/>
      <c r="BB59" s="5"/>
      <c r="BF59" s="5"/>
      <c r="BI59" s="5"/>
      <c r="BM59" s="5"/>
      <c r="BQ59" s="5"/>
      <c r="BU59" s="5"/>
      <c r="BY59" s="5"/>
      <c r="CC59" s="5"/>
    </row>
    <row r="60" spans="32:81" x14ac:dyDescent="0.25">
      <c r="AF60" s="5"/>
      <c r="AI60" s="5"/>
      <c r="AM60" s="5"/>
      <c r="AQ60" s="5"/>
      <c r="AU60" s="5"/>
      <c r="AX60" s="5"/>
      <c r="BB60" s="5"/>
      <c r="BF60" s="5"/>
      <c r="BI60" s="5"/>
      <c r="BM60" s="5"/>
      <c r="BQ60" s="5"/>
      <c r="BU60" s="5"/>
      <c r="BY60" s="5"/>
      <c r="CC60" s="5"/>
    </row>
    <row r="61" spans="32:81" x14ac:dyDescent="0.25">
      <c r="AF61" s="5"/>
      <c r="AI61" s="5"/>
      <c r="AM61" s="5"/>
      <c r="AQ61" s="5"/>
      <c r="AU61" s="5"/>
      <c r="AX61" s="5"/>
      <c r="BB61" s="5"/>
      <c r="BF61" s="5"/>
      <c r="BI61" s="5"/>
      <c r="BM61" s="5"/>
      <c r="BQ61" s="5"/>
      <c r="BU61" s="5"/>
      <c r="BY61" s="5"/>
      <c r="CC61" s="5"/>
    </row>
    <row r="62" spans="32:81" x14ac:dyDescent="0.25">
      <c r="AF62" s="5"/>
      <c r="AI62" s="5"/>
      <c r="AM62" s="5"/>
      <c r="AQ62" s="5"/>
      <c r="AU62" s="5"/>
      <c r="AX62" s="5"/>
      <c r="BB62" s="5"/>
      <c r="BF62" s="5"/>
      <c r="BI62" s="5"/>
      <c r="BM62" s="5"/>
      <c r="BQ62" s="5"/>
      <c r="BU62" s="5"/>
      <c r="BY62" s="5"/>
      <c r="CC62" s="5"/>
    </row>
    <row r="63" spans="32:81" x14ac:dyDescent="0.25">
      <c r="AF63" s="5"/>
      <c r="AI63" s="5"/>
      <c r="AM63" s="5"/>
      <c r="AQ63" s="5"/>
      <c r="AU63" s="5"/>
      <c r="AX63" s="5"/>
      <c r="BB63" s="5"/>
      <c r="BF63" s="5"/>
      <c r="BI63" s="5"/>
      <c r="BM63" s="5"/>
      <c r="BQ63" s="5"/>
      <c r="BU63" s="5"/>
      <c r="BY63" s="5"/>
      <c r="CC63" s="5"/>
    </row>
    <row r="64" spans="32:81" x14ac:dyDescent="0.25">
      <c r="AF64" s="5"/>
      <c r="AI64" s="5"/>
      <c r="AM64" s="5"/>
      <c r="AQ64" s="5"/>
      <c r="AU64" s="5"/>
      <c r="AX64" s="5"/>
      <c r="BB64" s="5"/>
      <c r="BF64" s="5"/>
      <c r="BI64" s="5"/>
      <c r="BM64" s="5"/>
      <c r="BQ64" s="5"/>
      <c r="BU64" s="5"/>
      <c r="BY64" s="5"/>
      <c r="CC64" s="5"/>
    </row>
    <row r="65" spans="32:81" x14ac:dyDescent="0.25">
      <c r="AF65" s="5"/>
      <c r="AI65" s="5"/>
      <c r="AM65" s="5"/>
      <c r="AQ65" s="5"/>
      <c r="AU65" s="5"/>
      <c r="AX65" s="5"/>
      <c r="BB65" s="5"/>
      <c r="BF65" s="5"/>
      <c r="BI65" s="5"/>
      <c r="BM65" s="5"/>
      <c r="BQ65" s="5"/>
      <c r="BU65" s="5"/>
      <c r="BY65" s="5"/>
      <c r="CC65" s="5"/>
    </row>
    <row r="66" spans="32:81" x14ac:dyDescent="0.25">
      <c r="AF66" s="5"/>
      <c r="AI66" s="5"/>
      <c r="AM66" s="5"/>
      <c r="AQ66" s="5"/>
      <c r="AU66" s="5"/>
      <c r="AX66" s="5"/>
      <c r="BB66" s="5"/>
      <c r="BF66" s="5"/>
      <c r="BI66" s="5"/>
      <c r="BM66" s="5"/>
      <c r="BQ66" s="5"/>
      <c r="BU66" s="5"/>
      <c r="BY66" s="5"/>
      <c r="CC66" s="5"/>
    </row>
    <row r="67" spans="32:81" x14ac:dyDescent="0.25">
      <c r="AF67" s="5"/>
      <c r="AI67" s="5"/>
      <c r="AM67" s="5"/>
      <c r="AQ67" s="5"/>
      <c r="AU67" s="5"/>
      <c r="AX67" s="5"/>
      <c r="BB67" s="5"/>
      <c r="BF67" s="5"/>
      <c r="BI67" s="5"/>
      <c r="BM67" s="5"/>
      <c r="BQ67" s="5"/>
      <c r="BU67" s="5"/>
      <c r="BY67" s="5"/>
      <c r="CC67" s="5"/>
    </row>
    <row r="68" spans="32:81" x14ac:dyDescent="0.25">
      <c r="AF68" s="5"/>
      <c r="AI68" s="5"/>
      <c r="AM68" s="5"/>
      <c r="AQ68" s="5"/>
      <c r="AU68" s="5"/>
      <c r="AX68" s="5"/>
      <c r="BB68" s="5"/>
      <c r="BF68" s="5"/>
      <c r="BI68" s="5"/>
      <c r="BM68" s="5"/>
      <c r="BQ68" s="5"/>
      <c r="BU68" s="5"/>
      <c r="BY68" s="5"/>
      <c r="CC68" s="5"/>
    </row>
    <row r="69" spans="32:81" x14ac:dyDescent="0.25">
      <c r="AF69" s="5"/>
      <c r="AI69" s="5"/>
      <c r="AM69" s="5"/>
      <c r="AQ69" s="5"/>
      <c r="AU69" s="5"/>
      <c r="AX69" s="5"/>
      <c r="BB69" s="5"/>
      <c r="BF69" s="5"/>
      <c r="BI69" s="5"/>
      <c r="BM69" s="5"/>
      <c r="BQ69" s="5"/>
      <c r="BU69" s="5"/>
      <c r="BY69" s="5"/>
      <c r="CC69" s="5"/>
    </row>
    <row r="70" spans="32:81" x14ac:dyDescent="0.25">
      <c r="AF70" s="5"/>
      <c r="AI70" s="5"/>
      <c r="AM70" s="5"/>
      <c r="AQ70" s="5"/>
      <c r="AU70" s="5"/>
      <c r="AX70" s="5"/>
      <c r="BB70" s="5"/>
      <c r="BF70" s="5"/>
      <c r="BI70" s="5"/>
      <c r="BM70" s="5"/>
      <c r="BQ70" s="5"/>
      <c r="BU70" s="5"/>
      <c r="BY70" s="5"/>
      <c r="CC70" s="5"/>
    </row>
    <row r="71" spans="32:81" x14ac:dyDescent="0.25">
      <c r="AF71" s="5"/>
      <c r="AI71" s="5"/>
      <c r="AM71" s="5"/>
      <c r="AQ71" s="5"/>
      <c r="AU71" s="5"/>
      <c r="AX71" s="5"/>
      <c r="BB71" s="5"/>
      <c r="BF71" s="5"/>
      <c r="BI71" s="5"/>
      <c r="BM71" s="5"/>
      <c r="BQ71" s="5"/>
      <c r="BU71" s="5"/>
      <c r="BY71" s="5"/>
      <c r="CC71" s="5"/>
    </row>
    <row r="72" spans="32:81" x14ac:dyDescent="0.25">
      <c r="AF72" s="5"/>
      <c r="AI72" s="5"/>
      <c r="AM72" s="5"/>
      <c r="AQ72" s="5"/>
      <c r="AU72" s="5"/>
      <c r="AX72" s="5"/>
      <c r="BB72" s="5"/>
      <c r="BF72" s="5"/>
      <c r="BI72" s="5"/>
      <c r="BM72" s="5"/>
      <c r="BQ72" s="5"/>
      <c r="BU72" s="5"/>
      <c r="BY72" s="5"/>
      <c r="CC72" s="5"/>
    </row>
    <row r="73" spans="32:81" x14ac:dyDescent="0.25">
      <c r="AF73" s="5"/>
      <c r="AI73" s="5"/>
      <c r="AM73" s="5"/>
      <c r="AQ73" s="5"/>
      <c r="AU73" s="5"/>
      <c r="AX73" s="5"/>
      <c r="BB73" s="5"/>
      <c r="BF73" s="5"/>
      <c r="BI73" s="5"/>
      <c r="BM73" s="5"/>
      <c r="BQ73" s="5"/>
      <c r="BU73" s="5"/>
      <c r="BY73" s="5"/>
      <c r="CC73" s="5"/>
    </row>
    <row r="74" spans="32:81" x14ac:dyDescent="0.25">
      <c r="AF74" s="5"/>
      <c r="AI74" s="5"/>
      <c r="AM74" s="5"/>
      <c r="AQ74" s="5"/>
      <c r="AU74" s="5"/>
      <c r="AX74" s="5"/>
      <c r="BB74" s="5"/>
      <c r="BF74" s="5"/>
      <c r="BI74" s="5"/>
      <c r="BM74" s="5"/>
      <c r="BQ74" s="5"/>
      <c r="BU74" s="5"/>
      <c r="BY74" s="5"/>
      <c r="CC74" s="5"/>
    </row>
    <row r="75" spans="32:81" x14ac:dyDescent="0.25">
      <c r="AF75" s="5"/>
      <c r="AI75" s="5"/>
      <c r="AM75" s="5"/>
      <c r="AQ75" s="5"/>
      <c r="AU75" s="5"/>
      <c r="AX75" s="5"/>
      <c r="BB75" s="5"/>
      <c r="BF75" s="5"/>
      <c r="BI75" s="5"/>
      <c r="BM75" s="5"/>
      <c r="BQ75" s="5"/>
      <c r="BU75" s="5"/>
      <c r="BY75" s="5"/>
      <c r="CC75" s="5"/>
    </row>
    <row r="76" spans="32:81" x14ac:dyDescent="0.25">
      <c r="AF76" s="5"/>
      <c r="AI76" s="5"/>
      <c r="AM76" s="5"/>
      <c r="AQ76" s="5"/>
      <c r="AU76" s="5"/>
      <c r="AX76" s="5"/>
      <c r="BB76" s="5"/>
      <c r="BF76" s="5"/>
      <c r="BI76" s="5"/>
      <c r="BM76" s="5"/>
      <c r="BQ76" s="5"/>
      <c r="BU76" s="5"/>
      <c r="BY76" s="5"/>
      <c r="CC76" s="5"/>
    </row>
    <row r="77" spans="32:81" x14ac:dyDescent="0.25">
      <c r="AF77" s="5"/>
      <c r="AI77" s="5"/>
      <c r="AM77" s="5"/>
      <c r="AQ77" s="5"/>
      <c r="AU77" s="5"/>
      <c r="AX77" s="5"/>
      <c r="BB77" s="5"/>
      <c r="BF77" s="5"/>
      <c r="BI77" s="5"/>
      <c r="BM77" s="5"/>
      <c r="BQ77" s="5"/>
      <c r="BU77" s="5"/>
      <c r="BY77" s="5"/>
      <c r="CC77" s="5"/>
    </row>
    <row r="78" spans="32:81" x14ac:dyDescent="0.25">
      <c r="AF78" s="5"/>
      <c r="AI78" s="5"/>
      <c r="AM78" s="5"/>
      <c r="AQ78" s="5"/>
      <c r="AU78" s="5"/>
      <c r="AX78" s="5"/>
      <c r="BB78" s="5"/>
      <c r="BF78" s="5"/>
      <c r="BI78" s="5"/>
      <c r="BM78" s="5"/>
      <c r="BQ78" s="5"/>
      <c r="BU78" s="5"/>
      <c r="BY78" s="5"/>
      <c r="CC78" s="5"/>
    </row>
    <row r="79" spans="32:81" x14ac:dyDescent="0.25">
      <c r="AF79" s="5"/>
      <c r="AI79" s="5"/>
      <c r="AM79" s="5"/>
      <c r="AQ79" s="5"/>
      <c r="AU79" s="5"/>
      <c r="AX79" s="5"/>
      <c r="BB79" s="5"/>
      <c r="BF79" s="5"/>
      <c r="BI79" s="5"/>
      <c r="BM79" s="5"/>
      <c r="BQ79" s="5"/>
      <c r="BU79" s="5"/>
      <c r="BY79" s="5"/>
      <c r="CC79" s="5"/>
    </row>
    <row r="80" spans="32:81" x14ac:dyDescent="0.25">
      <c r="AF80" s="5"/>
      <c r="AI80" s="5"/>
      <c r="AM80" s="5"/>
      <c r="AQ80" s="5"/>
      <c r="AU80" s="5"/>
      <c r="AX80" s="5"/>
      <c r="BB80" s="5"/>
      <c r="BF80" s="5"/>
      <c r="BI80" s="5"/>
      <c r="BM80" s="5"/>
      <c r="BQ80" s="5"/>
      <c r="BU80" s="5"/>
      <c r="BY80" s="5"/>
      <c r="CC80" s="5"/>
    </row>
  </sheetData>
  <sortState ref="A2:CD80">
    <sortCondition ref="H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1" sqref="B1"/>
    </sheetView>
  </sheetViews>
  <sheetFormatPr defaultColWidth="11" defaultRowHeight="15.75" x14ac:dyDescent="0.25"/>
  <sheetData>
    <row r="1" spans="1:1" x14ac:dyDescent="0.25">
      <c r="A1">
        <v>15</v>
      </c>
    </row>
    <row r="2" spans="1:1" x14ac:dyDescent="0.25">
      <c r="A2">
        <v>1</v>
      </c>
    </row>
    <row r="3" spans="1:1" x14ac:dyDescent="0.25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Peak AST &lt;250 UL</vt:lpstr>
      <vt:lpstr>Peak AST &gt;1000 UL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dnasralla</cp:lastModifiedBy>
  <dcterms:created xsi:type="dcterms:W3CDTF">2017-01-31T11:04:27Z</dcterms:created>
  <dcterms:modified xsi:type="dcterms:W3CDTF">2018-02-21T23:51:29Z</dcterms:modified>
</cp:coreProperties>
</file>